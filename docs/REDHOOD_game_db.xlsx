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<sst xmlns="http://schemas.openxmlformats.org/spreadsheetml/2006/main" count="491" uniqueCount="306">
  <si>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</si>
  <si>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</si>
  <si>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</si>
  <si>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</si>
  <si>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</si>
  <si>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</si>
  <si>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피해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</si>
  <si>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</si>
  <si>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</si>
  <si>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</si>
  <si>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</si>
  <si>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</si>
  <si>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</si>
  <si>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</si>
  <si>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</si>
  <si>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v0.6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레벨캡 </t>
    </r>
    <r>
      <rPr>
        <sz val="10"/>
        <rFont val="Malgun Gothic"/>
        <family val="0"/>
        <charset val="1"/>
      </rPr>
      <t xml:space="preserve">3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</si>
  <si>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</t>
    </r>
    <r>
      <rPr>
        <i val="true"/>
        <sz val="9"/>
        <color rgb="FF7A5C38"/>
        <rFont val="Noto Sans CJK SC"/>
        <family val="2"/>
      </rPr>
      <t xml:space="preserve">는 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리롤 전략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일반 주사위 </t>
    </r>
    <r>
      <rPr>
        <i val="true"/>
        <sz val="9"/>
        <color rgb="FF7A5C38"/>
        <rFont val="Malgun Gothic"/>
        <family val="0"/>
        <charset val="1"/>
      </rPr>
      <t xml:space="preserve">5</t>
    </r>
    <r>
      <rPr>
        <i val="true"/>
        <sz val="9"/>
        <color rgb="FF7A5C38"/>
        <rFont val="Noto Sans CJK SC"/>
        <family val="2"/>
      </rPr>
      <t xml:space="preserve">개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측정값</t>
    </r>
    <r>
      <rPr>
        <i val="true"/>
        <sz val="9"/>
        <color rgb="FF7A5C38"/>
        <rFont val="Malgun Gothic"/>
        <family val="0"/>
        <charset val="1"/>
      </rPr>
      <t xml:space="preserve">. †</t>
    </r>
    <r>
      <rPr>
        <i val="true"/>
        <sz val="9"/>
        <color rgb="FF7A5C38"/>
        <rFont val="Noto Sans CJK SC"/>
        <family val="2"/>
      </rPr>
      <t xml:space="preserve">표시는 측정치에서 보간</t>
    </r>
    <r>
      <rPr>
        <i val="true"/>
        <sz val="9"/>
        <color rgb="FF7A5C38"/>
        <rFont val="Malgun Gothic"/>
        <family val="0"/>
        <charset val="1"/>
      </rPr>
      <t xml:space="preserve">.</t>
    </r>
  </si>
  <si>
    <t xml:space="preserve">id</t>
  </si>
  <si>
    <t xml:space="preserve">이름</t>
  </si>
  <si>
    <t xml:space="preserve">분류</t>
  </si>
  <si>
    <t xml:space="preserve">성립 조건</t>
  </si>
  <si>
    <t xml:space="preserve">피해</t>
  </si>
  <si>
    <t xml:space="preserve">대상</t>
  </si>
  <si>
    <t xml:space="preserve">부가 능력</t>
  </si>
  <si>
    <t xml:space="preserve">레벨 규칙</t>
  </si>
  <si>
    <t xml:space="preserve">시작</t>
  </si>
  <si>
    <t xml:space="preserve">등급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</si>
  <si>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</si>
  <si>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</si>
  <si>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</si>
  <si>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</si>
  <si>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찬스</t>
  </si>
  <si>
    <r>
      <rPr>
        <sz val="10"/>
        <rFont val="Noto Sans CJK SC"/>
        <family val="2"/>
      </rPr>
      <t xml:space="preserve">조건 없음 — 항상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가장 높은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</si>
  <si>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상위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개의 합</t>
    </r>
  </si>
  <si>
    <t xml:space="preserve">단일</t>
  </si>
  <si>
    <t xml:space="preserve">언제나 성립</t>
  </si>
  <si>
    <r>
      <rPr>
        <sz val="10"/>
        <rFont val="Malgun Gothic"/>
        <family val="0"/>
        <charset val="1"/>
      </rPr>
      <t xml:space="preserve">+2/</t>
    </r>
    <r>
      <rPr>
        <sz val="10"/>
        <rFont val="Noto Sans CJK SC"/>
        <family val="2"/>
      </rPr>
      <t xml:space="preserve">레벨</t>
    </r>
  </si>
  <si>
    <t xml:space="preserve">○</t>
  </si>
  <si>
    <t xml:space="preserve">common</t>
  </si>
  <si>
    <t xml:space="preserve">16.4</t>
  </si>
  <si>
    <t xml:space="preserve">베기</t>
  </si>
  <si>
    <t xml:space="preserve">⚅ ⚄ ⚂</t>
  </si>
  <si>
    <t xml:space="preserve">ones</t>
  </si>
  <si>
    <t xml:space="preserve">에이스</t>
  </si>
  <si>
    <t xml:space="preserve">upper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</si>
  <si>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</si>
  <si>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</si>
  <si>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</si>
  <si>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×</t>
    </r>
    <r>
      <rPr>
        <sz val="10"/>
        <rFont val="Noto Sans CJK SC"/>
        <family val="2"/>
      </rPr>
      <t xml:space="preserve">레벨</t>
    </r>
  </si>
  <si>
    <t xml:space="preserve">2.1</t>
  </si>
  <si>
    <t xml:space="preserve">⚀ ⚀ ⚀</t>
  </si>
  <si>
    <t xml:space="preserve">twos</t>
  </si>
  <si>
    <t xml:space="preserve">듀스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</si>
  <si>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</si>
  <si>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</si>
  <si>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×2</t>
    </r>
  </si>
  <si>
    <t xml:space="preserve">4.2</t>
  </si>
  <si>
    <t xml:space="preserve">⚁ ⚁ ⚁</t>
  </si>
  <si>
    <t xml:space="preserve">threes</t>
  </si>
  <si>
    <t xml:space="preserve">트레이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</si>
  <si>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</si>
  <si>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</si>
  <si>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</si>
  <si>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6.3†</t>
  </si>
  <si>
    <t xml:space="preserve">⚂ ⚂ ⚂</t>
  </si>
  <si>
    <t xml:space="preserve">fours</t>
  </si>
  <si>
    <t xml:space="preserve">포스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</si>
  <si>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</si>
  <si>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</si>
  <si>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</si>
  <si>
    <t xml:space="preserve">8.4†</t>
  </si>
  <si>
    <t xml:space="preserve">⚃ ⚃ ⚃</t>
  </si>
  <si>
    <t xml:space="preserve">fives</t>
  </si>
  <si>
    <t xml:space="preserve">파이브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</si>
  <si>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</si>
  <si>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</si>
  <si>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+5</t>
    </r>
  </si>
  <si>
    <t xml:space="preserve">10.6†</t>
  </si>
  <si>
    <t xml:space="preserve">⚄ ⚄ ⚄</t>
  </si>
  <si>
    <t xml:space="preserve">sixes</t>
  </si>
  <si>
    <t xml:space="preserve">식스</t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</si>
  <si>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</si>
  <si>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</si>
  <si>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부가 없음 — 순수 화력</t>
  </si>
  <si>
    <t xml:space="preserve">12.6</t>
  </si>
  <si>
    <t xml:space="preserve">⚅ ⚅ ⚅</t>
  </si>
  <si>
    <t xml:space="preserve">threeKind</t>
  </si>
  <si>
    <t xml:space="preserve">트리플</t>
  </si>
  <si>
    <t xml:space="preserve">ofKind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</si>
  <si>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</si>
  <si>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×2</t>
    </r>
  </si>
  <si>
    <r>
      <rPr>
        <sz val="10"/>
        <rFont val="Noto Sans CJK SC"/>
        <family val="2"/>
      </rPr>
      <t xml:space="preserve">해제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디버프 개편 예정</t>
    </r>
    <r>
      <rPr>
        <sz val="10"/>
        <rFont val="Malgun Gothic"/>
        <family val="0"/>
        <charset val="1"/>
      </rPr>
      <t xml:space="preserve">)</t>
    </r>
  </si>
  <si>
    <t xml:space="preserve">20.0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</si>
  <si>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</si>
  <si>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fourKind</t>
  </si>
  <si>
    <t xml:space="preserve">포카드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</si>
  <si>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그 같은 눈들의 합 </t>
    </r>
    <r>
      <rPr>
        <sz val="10"/>
        <rFont val="Malgun Gothic"/>
        <family val="0"/>
        <charset val="1"/>
      </rPr>
      <t xml:space="preserve">×2 </t>
    </r>
    <r>
      <rPr>
        <sz val="10"/>
        <rFont val="Noto Sans CJK SC"/>
        <family val="2"/>
      </rPr>
      <t xml:space="preserve">만큼 피해</t>
    </r>
    <r>
      <rPr>
        <sz val="10"/>
        <rFont val="Malgun Gothic"/>
        <family val="0"/>
        <charset val="1"/>
      </rPr>
      <t xml:space="preserve">.</t>
    </r>
  </si>
  <si>
    <t xml:space="preserve">적 다음 행동 취소</t>
  </si>
  <si>
    <t xml:space="preserve">rare</t>
  </si>
  <si>
    <t xml:space="preserve">9.1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</si>
  <si>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</si>
  <si>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</si>
  <si>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fullHouse</t>
  </si>
  <si>
    <t xml:space="preserve">풀하우스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</si>
  <si>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</si>
  <si>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25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</si>
  <si>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</si>
  <si>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t xml:space="preserve">uncommon</t>
  </si>
  <si>
    <t xml:space="preserve">9.0</t>
  </si>
  <si>
    <t xml:space="preserve">금빛 파문</t>
  </si>
  <si>
    <t xml:space="preserve">⚄ ⚄ ⚄ ⚁ ⚁</t>
  </si>
  <si>
    <t xml:space="preserve">smallStraight</t>
  </si>
  <si>
    <t xml:space="preserve">스몰 스트레이트</t>
  </si>
  <si>
    <t xml:space="preserve">straight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</si>
  <si>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</si>
  <si>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30</t>
  </si>
  <si>
    <t xml:space="preserve">전체</t>
  </si>
  <si>
    <t xml:space="preserve">이번 적 공격 회피</t>
  </si>
  <si>
    <t xml:space="preserve">13.2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</si>
  <si>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</si>
  <si>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</si>
  <si>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largeStraight</t>
  </si>
  <si>
    <t xml:space="preserve">라지 스트레이트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</si>
  <si>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</si>
  <si>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40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</si>
  <si>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</si>
  <si>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7.0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</si>
  <si>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</si>
  <si>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</si>
  <si>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yahtzee</t>
  </si>
  <si>
    <t xml:space="preserve">야찌</t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</si>
  <si>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</si>
  <si>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50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</si>
  <si>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</si>
  <si>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t xml:space="preserve">2.3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</si>
  <si>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</si>
  <si>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</si>
  <si>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면 구성</t>
  </si>
  <si>
    <t xml:space="preserve">특수 규칙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</si>
  <si>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</si>
  <si>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</si>
  <si>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</si>
  <si>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</si>
  <si>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</si>
  <si>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</si>
  <si>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</si>
  <si>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</si>
  <si>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기여 시 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</si>
  <si>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</si>
  <si>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</si>
  <si>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</si>
  <si>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</si>
  <si>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</si>
  <si>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</si>
  <si>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</si>
  <si>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</si>
  <si>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</si>
  <si>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</si>
  <si>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</si>
  <si>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</si>
  <si>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</si>
  <si>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</si>
  <si>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</si>
  <si>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</si>
  <si>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</si>
  <si>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</si>
  <si>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</si>
  <si>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</si>
  <si>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</si>
  <si>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효과</t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</si>
  <si>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</si>
  <si>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</si>
  <si>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</si>
  <si>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</si>
  <si>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점수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</si>
  <si>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</si>
  <si>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category=ones, mult=5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</si>
  <si>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</si>
  <si>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</si>
  <si>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</si>
  <si>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</si>
  <si>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amount=1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</si>
  <si>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</si>
  <si>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</si>
  <si>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점수 </t>
    </r>
    <r>
      <rPr>
        <sz val="10"/>
        <rFont val="Malgun Gothic"/>
        <family val="0"/>
        <charset val="1"/>
      </rPr>
      <t xml:space="preserve">+15.</t>
    </r>
  </si>
  <si>
    <t xml:space="preserve">categoryBonus</t>
  </si>
  <si>
    <t xml:space="preserve">category=fullHouse, bonus=15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</si>
  <si>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</si>
  <si>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</si>
  <si>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</si>
  <si>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</si>
  <si>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</si>
  <si>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</si>
  <si>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</si>
  <si>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</si>
  <si>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</si>
  <si>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</si>
  <si>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</si>
  <si>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</si>
  <si>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</si>
  <si>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</si>
  <si>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</si>
  <si>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</si>
  <si>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</si>
  <si>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</si>
  <si>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HP(1</t>
    </r>
    <r>
      <rPr>
        <b val="true"/>
        <sz val="10"/>
        <color rgb="FFF5EBD8"/>
        <rFont val="Noto Sans CJK SC"/>
        <family val="2"/>
      </rPr>
      <t xml:space="preserve">층 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</si>
  <si>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Malgun Gothic"/>
        <family val="0"/>
        <charset val="1"/>
      </rPr>
      <t xml:space="preserve">11</t>
    </r>
    <r>
      <rPr>
        <b val="true"/>
        <sz val="10"/>
        <color rgb="FFF5EBD8"/>
        <rFont val="Noto Sans CJK SC"/>
        <family val="2"/>
      </rPr>
      <t xml:space="preserve">층 실효 </t>
    </r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최대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</si>
  <si>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</si>
  <si>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</si>
  <si>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</si>
  <si>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crow</t>
  </si>
  <si>
    <t xml:space="preserve">굶주린 까마귀</t>
  </si>
  <si>
    <t xml:space="preserve">33~37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</si>
  <si>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circle:1] · 2</t>
    </r>
    <r>
      <rPr>
        <sz val="10"/>
        <rFont val="Noto Sans CJK SC"/>
        <family val="2"/>
      </rPr>
      <t xml:space="preserve">연속 금지</t>
    </r>
  </si>
  <si>
    <t xml:space="preserve">will_o_wisp</t>
  </si>
  <si>
    <t xml:space="preserve">도깨비불</t>
  </si>
  <si>
    <t xml:space="preserve">30~34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</si>
  <si>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</si>
  <si>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forest_spider</t>
  </si>
  <si>
    <t xml:space="preserve">숲거미</t>
  </si>
  <si>
    <t xml:space="preserve">36~40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</si>
  <si>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</si>
  <si>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</si>
  <si>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</si>
  <si>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</si>
  <si>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</si>
  <si>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</si>
  <si>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</si>
  <si>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</si>
  <si>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</si>
  <si>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twig_golem</t>
  </si>
  <si>
    <t xml:space="preserve">옹이 골렘</t>
  </si>
  <si>
    <t xml:space="preserve">50~55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</si>
  <si>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</si>
  <si>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alpha_dog</t>
  </si>
  <si>
    <t xml:space="preserve">우두머리 들개</t>
  </si>
  <si>
    <t xml:space="preserve">elite</t>
  </si>
  <si>
    <t xml:space="preserve">70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</si>
  <si>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</si>
  <si>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</si>
  <si>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</si>
  <si>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</si>
  <si>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</si>
  <si>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[bite:2, rend:3, pounce:1, howl:1] · 2</t>
    </r>
    <r>
      <rPr>
        <sz val="10"/>
        <rFont val="Noto Sans CJK SC"/>
        <family val="2"/>
      </rPr>
      <t xml:space="preserve">연속 금지</t>
    </r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</si>
  <si>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</si>
  <si>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</si>
  <si>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</si>
  <si>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</si>
  <si>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</si>
  <si>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</si>
  <si>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</si>
  <si>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5</t>
  </si>
  <si>
    <t xml:space="preserve">dive</t>
  </si>
  <si>
    <t xml:space="preserve">급강하</t>
  </si>
  <si>
    <t xml:space="preserve">8</t>
  </si>
  <si>
    <t xml:space="preserve">circle</t>
  </si>
  <si>
    <t xml:space="preserve">선회</t>
  </si>
  <si>
    <r>
      <rPr>
        <sz val="10"/>
        <rFont val="Noto Sans CJK SC"/>
        <family val="2"/>
      </rPr>
      <t xml:space="preserve">준비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행동 없음</t>
    </r>
    <r>
      <rPr>
        <sz val="10"/>
        <rFont val="Malgun Gothic"/>
        <family val="0"/>
        <charset val="1"/>
      </rPr>
      <t xml:space="preserve">)</t>
    </r>
  </si>
  <si>
    <t xml:space="preserve">scorch</t>
  </si>
  <si>
    <t xml:space="preserve">지지기</t>
  </si>
  <si>
    <t xml:space="preserve">6</t>
  </si>
  <si>
    <t xml:space="preserve">flicker</t>
  </si>
  <si>
    <t xml:space="preserve">명멸</t>
  </si>
  <si>
    <t xml:space="preserve">flare</t>
  </si>
  <si>
    <t xml:space="preserve">불꽃 폭발</t>
  </si>
  <si>
    <t xml:space="preserve">11</t>
  </si>
  <si>
    <t xml:space="preserve">bite</t>
  </si>
  <si>
    <t xml:space="preserve">물기</t>
  </si>
  <si>
    <t xml:space="preserve">web</t>
  </si>
  <si>
    <t xml:space="preserve">거미줄</t>
  </si>
  <si>
    <t xml:space="preserve">ambush</t>
  </si>
  <si>
    <t xml:space="preserve">기습</t>
  </si>
  <si>
    <t xml:space="preserve">물어뜯기</t>
  </si>
  <si>
    <t xml:space="preserve">growl</t>
  </si>
  <si>
    <t xml:space="preserve">으르렁</t>
  </si>
  <si>
    <t xml:space="preserve">maul</t>
  </si>
  <si>
    <t xml:space="preserve">사냥</t>
  </si>
  <si>
    <t xml:space="preserve">14</t>
  </si>
  <si>
    <t xml:space="preserve">scratch</t>
  </si>
  <si>
    <t xml:space="preserve">할퀴기</t>
  </si>
  <si>
    <t xml:space="preserve">coil</t>
  </si>
  <si>
    <t xml:space="preserve">가시 세우기</t>
  </si>
  <si>
    <t xml:space="preserve">lash</t>
  </si>
  <si>
    <t xml:space="preserve">덩굴 채찍</t>
  </si>
  <si>
    <t xml:space="preserve">13</t>
  </si>
  <si>
    <t xml:space="preserve">slam</t>
  </si>
  <si>
    <t xml:space="preserve">내리찍기</t>
  </si>
  <si>
    <t xml:space="preserve">9</t>
  </si>
  <si>
    <t xml:space="preserve">root</t>
  </si>
  <si>
    <t xml:space="preserve">뿌리내림</t>
  </si>
  <si>
    <t xml:space="preserve">crush</t>
  </si>
  <si>
    <t xml:space="preserve">짓뭉개기</t>
  </si>
  <si>
    <t xml:space="preserve">16</t>
  </si>
  <si>
    <t xml:space="preserve">howl</t>
  </si>
  <si>
    <t xml:space="preserve">울부짖음</t>
  </si>
  <si>
    <t xml:space="preserve">frenzy</t>
  </si>
  <si>
    <t xml:space="preserve">광란</t>
  </si>
  <si>
    <t xml:space="preserve">19</t>
  </si>
  <si>
    <t xml:space="preserve">12</t>
  </si>
  <si>
    <t xml:space="preserve">lurk</t>
  </si>
  <si>
    <t xml:space="preserve">웅크리기</t>
  </si>
  <si>
    <t xml:space="preserve">pounce</t>
  </si>
  <si>
    <t xml:space="preserve">덮치기</t>
  </si>
  <si>
    <t xml:space="preserve">22</t>
  </si>
  <si>
    <t xml:space="preserve">rend</t>
  </si>
  <si>
    <t xml:space="preserve">갈기갈기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</si>
</sst>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A02C25"/>
      <name val="Malgun Gothic"/>
      <family val="0"/>
      <charset val="1"/>
    </font>
    <font>
      <b val="true"/>
      <sz val="10"/>
      <color rgb="FF2F5B8C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13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7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8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26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9"/>
    <col collapsed="false" customWidth="true" hidden="false" outlineLevel="0" max="4" min="4" style="0" width="44"/>
    <col collapsed="false" customWidth="true" hidden="false" outlineLevel="0" max="5" min="5" style="0" width="17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11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20"/>
    <col collapsed="false" customWidth="true" hidden="false" outlineLevel="0" max="13" min="13" style="0" width="13"/>
  </cols>
  <sheetData>
    <row r="1" customFormat="false" ht="15" hidden="false" customHeight="false" outlineLevel="0" collapsed="false">
      <c r="A1" s="8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8" t="s">
        <v>27</v>
      </c>
      <c r="L1" s="3" t="s">
        <v>28</v>
      </c>
      <c r="M1" s="3" t="s">
        <v>29</v>
      </c>
    </row>
    <row r="2" customFormat="false" ht="15" hidden="false" customHeight="false" outlineLevel="0" collapsed="false">
      <c r="A2" s="9" t="s">
        <v>30</v>
      </c>
      <c r="B2" s="10" t="s">
        <v>31</v>
      </c>
      <c r="C2" s="9" t="s">
        <v>30</v>
      </c>
      <c r="D2" s="4" t="s">
        <v>32</v>
      </c>
      <c r="E2" s="4" t="s">
        <v>33</v>
      </c>
      <c r="F2" s="4" t="s">
        <v>34</v>
      </c>
      <c r="G2" s="4" t="s">
        <v>35</v>
      </c>
      <c r="H2" s="9" t="s">
        <v>36</v>
      </c>
      <c r="I2" s="9" t="s">
        <v>37</v>
      </c>
      <c r="J2" s="9" t="s">
        <v>38</v>
      </c>
      <c r="K2" s="9" t="s">
        <v>39</v>
      </c>
      <c r="L2" s="4" t="s">
        <v>40</v>
      </c>
      <c r="M2" s="9" t="s">
        <v>41</v>
      </c>
    </row>
    <row r="3" customFormat="false" ht="15" hidden="false" customHeight="false" outlineLevel="0" collapsed="false">
      <c r="A3" s="11" t="s">
        <v>42</v>
      </c>
      <c r="B3" s="12" t="s">
        <v>43</v>
      </c>
      <c r="C3" s="11" t="s">
        <v>44</v>
      </c>
      <c r="D3" s="5" t="s">
        <v>45</v>
      </c>
      <c r="E3" s="11" t="s">
        <v>46</v>
      </c>
      <c r="F3" s="5" t="s">
        <v>34</v>
      </c>
      <c r="G3" s="5" t="s">
        <v>47</v>
      </c>
      <c r="H3" s="5" t="s">
        <v>48</v>
      </c>
      <c r="I3" s="5"/>
      <c r="J3" s="11" t="s">
        <v>38</v>
      </c>
      <c r="K3" s="11" t="s">
        <v>49</v>
      </c>
      <c r="L3" s="5" t="s">
        <v>40</v>
      </c>
      <c r="M3" s="11" t="s">
        <v>50</v>
      </c>
    </row>
    <row r="4" customFormat="false" ht="15" hidden="false" customHeight="false" outlineLevel="0" collapsed="false">
      <c r="A4" s="9" t="s">
        <v>51</v>
      </c>
      <c r="B4" s="10" t="s">
        <v>52</v>
      </c>
      <c r="C4" s="9" t="s">
        <v>44</v>
      </c>
      <c r="D4" s="4" t="s">
        <v>53</v>
      </c>
      <c r="E4" s="9" t="s">
        <v>54</v>
      </c>
      <c r="F4" s="4" t="s">
        <v>34</v>
      </c>
      <c r="G4" s="4" t="s">
        <v>55</v>
      </c>
      <c r="H4" s="4" t="s">
        <v>48</v>
      </c>
      <c r="I4" s="9" t="s">
        <v>37</v>
      </c>
      <c r="J4" s="9" t="s">
        <v>38</v>
      </c>
      <c r="K4" s="9" t="s">
        <v>56</v>
      </c>
      <c r="L4" s="4" t="s">
        <v>40</v>
      </c>
      <c r="M4" s="9" t="s">
        <v>57</v>
      </c>
    </row>
    <row r="5" customFormat="false" ht="15" hidden="false" customHeight="false" outlineLevel="0" collapsed="false">
      <c r="A5" s="11" t="s">
        <v>58</v>
      </c>
      <c r="B5" s="12" t="s">
        <v>59</v>
      </c>
      <c r="C5" s="11" t="s">
        <v>44</v>
      </c>
      <c r="D5" s="5" t="s">
        <v>60</v>
      </c>
      <c r="E5" s="11" t="s">
        <v>61</v>
      </c>
      <c r="F5" s="5" t="s">
        <v>34</v>
      </c>
      <c r="G5" s="11" t="s">
        <v>62</v>
      </c>
      <c r="H5" s="5" t="s">
        <v>48</v>
      </c>
      <c r="I5" s="5"/>
      <c r="J5" s="11" t="s">
        <v>38</v>
      </c>
      <c r="K5" s="11" t="s">
        <v>63</v>
      </c>
      <c r="L5" s="5" t="s">
        <v>40</v>
      </c>
      <c r="M5" s="11" t="s">
        <v>64</v>
      </c>
    </row>
    <row r="6" customFormat="false" ht="15" hidden="false" customHeight="false" outlineLevel="0" collapsed="false">
      <c r="A6" s="9" t="s">
        <v>65</v>
      </c>
      <c r="B6" s="10" t="s">
        <v>66</v>
      </c>
      <c r="C6" s="9" t="s">
        <v>44</v>
      </c>
      <c r="D6" s="4" t="s">
        <v>67</v>
      </c>
      <c r="E6" s="9" t="s">
        <v>68</v>
      </c>
      <c r="F6" s="4" t="s">
        <v>34</v>
      </c>
      <c r="G6" s="4" t="s">
        <v>69</v>
      </c>
      <c r="H6" s="4" t="s">
        <v>48</v>
      </c>
      <c r="I6" s="4"/>
      <c r="J6" s="9" t="s">
        <v>38</v>
      </c>
      <c r="K6" s="9" t="s">
        <v>70</v>
      </c>
      <c r="L6" s="4" t="s">
        <v>40</v>
      </c>
      <c r="M6" s="9" t="s">
        <v>71</v>
      </c>
    </row>
    <row r="7" customFormat="false" ht="15" hidden="false" customHeight="false" outlineLevel="0" collapsed="false">
      <c r="A7" s="11" t="s">
        <v>72</v>
      </c>
      <c r="B7" s="12" t="s">
        <v>73</v>
      </c>
      <c r="C7" s="11" t="s">
        <v>44</v>
      </c>
      <c r="D7" s="5" t="s">
        <v>74</v>
      </c>
      <c r="E7" s="11" t="s">
        <v>75</v>
      </c>
      <c r="F7" s="5" t="s">
        <v>34</v>
      </c>
      <c r="G7" s="5" t="s">
        <v>76</v>
      </c>
      <c r="H7" s="5" t="s">
        <v>48</v>
      </c>
      <c r="I7" s="5"/>
      <c r="J7" s="11" t="s">
        <v>38</v>
      </c>
      <c r="K7" s="11" t="s">
        <v>77</v>
      </c>
      <c r="L7" s="5" t="s">
        <v>40</v>
      </c>
      <c r="M7" s="11" t="s">
        <v>78</v>
      </c>
    </row>
    <row r="8" customFormat="false" ht="15" hidden="false" customHeight="false" outlineLevel="0" collapsed="false">
      <c r="A8" s="9" t="s">
        <v>79</v>
      </c>
      <c r="B8" s="10" t="s">
        <v>80</v>
      </c>
      <c r="C8" s="9" t="s">
        <v>44</v>
      </c>
      <c r="D8" s="4" t="s">
        <v>81</v>
      </c>
      <c r="E8" s="9" t="s">
        <v>82</v>
      </c>
      <c r="F8" s="4" t="s">
        <v>34</v>
      </c>
      <c r="G8" s="4" t="s">
        <v>83</v>
      </c>
      <c r="H8" s="4" t="s">
        <v>48</v>
      </c>
      <c r="I8" s="4"/>
      <c r="J8" s="9" t="s">
        <v>38</v>
      </c>
      <c r="K8" s="9" t="s">
        <v>84</v>
      </c>
      <c r="L8" s="4" t="s">
        <v>40</v>
      </c>
      <c r="M8" s="9" t="s">
        <v>85</v>
      </c>
    </row>
    <row r="9" customFormat="false" ht="29.85" hidden="false" customHeight="false" outlineLevel="0" collapsed="false">
      <c r="A9" s="11" t="s">
        <v>86</v>
      </c>
      <c r="B9" s="12" t="s">
        <v>87</v>
      </c>
      <c r="C9" s="11" t="s">
        <v>88</v>
      </c>
      <c r="D9" s="5" t="s">
        <v>89</v>
      </c>
      <c r="E9" s="5" t="s">
        <v>90</v>
      </c>
      <c r="F9" s="5" t="s">
        <v>34</v>
      </c>
      <c r="G9" s="5" t="s">
        <v>91</v>
      </c>
      <c r="H9" s="5" t="s">
        <v>48</v>
      </c>
      <c r="I9" s="11" t="s">
        <v>37</v>
      </c>
      <c r="J9" s="11" t="s">
        <v>38</v>
      </c>
      <c r="K9" s="11" t="s">
        <v>92</v>
      </c>
      <c r="L9" s="11" t="s">
        <v>93</v>
      </c>
      <c r="M9" s="11" t="s">
        <v>71</v>
      </c>
    </row>
    <row r="10" customFormat="false" ht="29.85" hidden="false" customHeight="false" outlineLevel="0" collapsed="false">
      <c r="A10" s="9" t="s">
        <v>94</v>
      </c>
      <c r="B10" s="10" t="s">
        <v>95</v>
      </c>
      <c r="C10" s="9" t="s">
        <v>88</v>
      </c>
      <c r="D10" s="4" t="s">
        <v>96</v>
      </c>
      <c r="E10" s="4" t="s">
        <v>90</v>
      </c>
      <c r="F10" s="4" t="s">
        <v>34</v>
      </c>
      <c r="G10" s="4" t="s">
        <v>97</v>
      </c>
      <c r="H10" s="4" t="s">
        <v>48</v>
      </c>
      <c r="I10" s="4"/>
      <c r="J10" s="13" t="s">
        <v>98</v>
      </c>
      <c r="K10" s="9" t="s">
        <v>99</v>
      </c>
      <c r="L10" s="4" t="s">
        <v>100</v>
      </c>
      <c r="M10" s="9" t="s">
        <v>101</v>
      </c>
    </row>
    <row r="11" customFormat="false" ht="29.85" hidden="false" customHeight="false" outlineLevel="0" collapsed="false">
      <c r="A11" s="11" t="s">
        <v>102</v>
      </c>
      <c r="B11" s="12" t="s">
        <v>103</v>
      </c>
      <c r="C11" s="11" t="s">
        <v>102</v>
      </c>
      <c r="D11" s="5" t="s">
        <v>104</v>
      </c>
      <c r="E11" s="11" t="s">
        <v>105</v>
      </c>
      <c r="F11" s="5" t="s">
        <v>34</v>
      </c>
      <c r="G11" s="5" t="s">
        <v>106</v>
      </c>
      <c r="H11" s="5" t="s">
        <v>48</v>
      </c>
      <c r="I11" s="5"/>
      <c r="J11" s="14" t="s">
        <v>107</v>
      </c>
      <c r="K11" s="11" t="s">
        <v>108</v>
      </c>
      <c r="L11" s="5" t="s">
        <v>109</v>
      </c>
      <c r="M11" s="11" t="s">
        <v>110</v>
      </c>
    </row>
    <row r="12" customFormat="false" ht="23.85" hidden="false" customHeight="false" outlineLevel="0" collapsed="false">
      <c r="A12" s="9" t="s">
        <v>111</v>
      </c>
      <c r="B12" s="10" t="s">
        <v>112</v>
      </c>
      <c r="C12" s="9" t="s">
        <v>113</v>
      </c>
      <c r="D12" s="4" t="s">
        <v>114</v>
      </c>
      <c r="E12" s="9" t="s">
        <v>115</v>
      </c>
      <c r="F12" s="4" t="s">
        <v>116</v>
      </c>
      <c r="G12" s="4" t="s">
        <v>117</v>
      </c>
      <c r="H12" s="4" t="s">
        <v>48</v>
      </c>
      <c r="I12" s="4"/>
      <c r="J12" s="15" t="s">
        <v>107</v>
      </c>
      <c r="K12" s="9" t="s">
        <v>118</v>
      </c>
      <c r="L12" s="4" t="s">
        <v>119</v>
      </c>
      <c r="M12" s="9" t="s">
        <v>120</v>
      </c>
    </row>
    <row r="13" customFormat="false" ht="26.85" hidden="false" customHeight="false" outlineLevel="0" collapsed="false">
      <c r="A13" s="11" t="s">
        <v>121</v>
      </c>
      <c r="B13" s="12" t="s">
        <v>122</v>
      </c>
      <c r="C13" s="11" t="s">
        <v>113</v>
      </c>
      <c r="D13" s="5" t="s">
        <v>123</v>
      </c>
      <c r="E13" s="11" t="s">
        <v>124</v>
      </c>
      <c r="F13" s="5" t="s">
        <v>116</v>
      </c>
      <c r="G13" s="5" t="s">
        <v>125</v>
      </c>
      <c r="H13" s="5" t="s">
        <v>48</v>
      </c>
      <c r="I13" s="5"/>
      <c r="J13" s="16" t="s">
        <v>98</v>
      </c>
      <c r="K13" s="11" t="s">
        <v>126</v>
      </c>
      <c r="L13" s="5" t="s">
        <v>127</v>
      </c>
      <c r="M13" s="11" t="s">
        <v>128</v>
      </c>
    </row>
    <row r="14" customFormat="false" ht="15" hidden="false" customHeight="false" outlineLevel="0" collapsed="false">
      <c r="A14" s="9" t="s">
        <v>129</v>
      </c>
      <c r="B14" s="10" t="s">
        <v>130</v>
      </c>
      <c r="C14" s="9" t="s">
        <v>88</v>
      </c>
      <c r="D14" s="4" t="s">
        <v>131</v>
      </c>
      <c r="E14" s="9" t="s">
        <v>132</v>
      </c>
      <c r="F14" s="4" t="s">
        <v>34</v>
      </c>
      <c r="G14" s="4" t="s">
        <v>133</v>
      </c>
      <c r="H14" s="4" t="s">
        <v>48</v>
      </c>
      <c r="I14" s="4"/>
      <c r="J14" s="13" t="s">
        <v>98</v>
      </c>
      <c r="K14" s="9" t="s">
        <v>134</v>
      </c>
      <c r="L14" s="4" t="s">
        <v>135</v>
      </c>
      <c r="M14" s="9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1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8" t="s">
        <v>17</v>
      </c>
      <c r="B1" s="3" t="s">
        <v>18</v>
      </c>
      <c r="C1" s="3" t="s">
        <v>137</v>
      </c>
      <c r="D1" s="3" t="s">
        <v>138</v>
      </c>
      <c r="E1" s="3" t="s">
        <v>26</v>
      </c>
      <c r="F1" s="3" t="s">
        <v>139</v>
      </c>
    </row>
    <row r="2" customFormat="false" ht="15" hidden="false" customHeight="false" outlineLevel="0" collapsed="false">
      <c r="A2" s="9" t="s">
        <v>140</v>
      </c>
      <c r="B2" s="10" t="s">
        <v>141</v>
      </c>
      <c r="C2" s="9" t="s">
        <v>142</v>
      </c>
      <c r="D2" s="9" t="s">
        <v>143</v>
      </c>
      <c r="E2" s="9" t="s">
        <v>38</v>
      </c>
      <c r="F2" s="4" t="s">
        <v>144</v>
      </c>
    </row>
    <row r="3" customFormat="false" ht="15" hidden="false" customHeight="false" outlineLevel="0" collapsed="false">
      <c r="A3" s="11" t="s">
        <v>145</v>
      </c>
      <c r="B3" s="12" t="s">
        <v>146</v>
      </c>
      <c r="C3" s="11" t="s">
        <v>142</v>
      </c>
      <c r="D3" s="5" t="s">
        <v>147</v>
      </c>
      <c r="E3" s="16" t="s">
        <v>98</v>
      </c>
      <c r="F3" s="5" t="s">
        <v>148</v>
      </c>
    </row>
    <row r="4" customFormat="false" ht="23.85" hidden="false" customHeight="false" outlineLevel="0" collapsed="false">
      <c r="A4" s="9" t="s">
        <v>149</v>
      </c>
      <c r="B4" s="10" t="s">
        <v>150</v>
      </c>
      <c r="C4" s="9" t="s">
        <v>151</v>
      </c>
      <c r="D4" s="9" t="s">
        <v>143</v>
      </c>
      <c r="E4" s="15" t="s">
        <v>107</v>
      </c>
      <c r="F4" s="9" t="s">
        <v>152</v>
      </c>
    </row>
    <row r="5" customFormat="false" ht="23.85" hidden="false" customHeight="false" outlineLevel="0" collapsed="false">
      <c r="A5" s="11" t="s">
        <v>153</v>
      </c>
      <c r="B5" s="12" t="s">
        <v>154</v>
      </c>
      <c r="C5" s="11" t="s">
        <v>155</v>
      </c>
      <c r="D5" s="11" t="s">
        <v>143</v>
      </c>
      <c r="E5" s="14" t="s">
        <v>107</v>
      </c>
      <c r="F5" s="5" t="s">
        <v>156</v>
      </c>
    </row>
    <row r="6" customFormat="false" ht="23.85" hidden="false" customHeight="false" outlineLevel="0" collapsed="false">
      <c r="A6" s="9" t="s">
        <v>157</v>
      </c>
      <c r="B6" s="10" t="s">
        <v>158</v>
      </c>
      <c r="C6" s="9" t="s">
        <v>159</v>
      </c>
      <c r="D6" s="9" t="s">
        <v>143</v>
      </c>
      <c r="E6" s="15" t="s">
        <v>107</v>
      </c>
      <c r="F6" s="4" t="s">
        <v>160</v>
      </c>
    </row>
    <row r="7" customFormat="false" ht="15" hidden="false" customHeight="false" outlineLevel="0" collapsed="false">
      <c r="A7" s="11" t="s">
        <v>161</v>
      </c>
      <c r="B7" s="12" t="s">
        <v>162</v>
      </c>
      <c r="C7" s="11" t="s">
        <v>163</v>
      </c>
      <c r="D7" s="11" t="s">
        <v>143</v>
      </c>
      <c r="E7" s="16" t="s">
        <v>98</v>
      </c>
      <c r="F7" s="5" t="s">
        <v>164</v>
      </c>
    </row>
    <row r="8" customFormat="false" ht="23.85" hidden="false" customHeight="false" outlineLevel="0" collapsed="false">
      <c r="A8" s="9" t="s">
        <v>165</v>
      </c>
      <c r="B8" s="10" t="s">
        <v>166</v>
      </c>
      <c r="C8" s="9" t="s">
        <v>167</v>
      </c>
      <c r="D8" s="9" t="s">
        <v>143</v>
      </c>
      <c r="E8" s="15" t="s">
        <v>107</v>
      </c>
      <c r="F8" s="4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17</v>
      </c>
      <c r="B1" s="3" t="s">
        <v>18</v>
      </c>
      <c r="C1" s="3" t="s">
        <v>169</v>
      </c>
      <c r="D1" s="3" t="s">
        <v>170</v>
      </c>
      <c r="E1" s="3" t="s">
        <v>171</v>
      </c>
      <c r="F1" s="3" t="s">
        <v>26</v>
      </c>
    </row>
    <row r="2" customFormat="false" ht="15" hidden="false" customHeight="false" outlineLevel="0" collapsed="false">
      <c r="A2" s="9" t="s">
        <v>172</v>
      </c>
      <c r="B2" s="10" t="s">
        <v>173</v>
      </c>
      <c r="C2" s="4" t="s">
        <v>174</v>
      </c>
      <c r="D2" s="9" t="s">
        <v>175</v>
      </c>
      <c r="E2" s="9" t="s">
        <v>176</v>
      </c>
      <c r="F2" s="13" t="s">
        <v>98</v>
      </c>
    </row>
    <row r="3" customFormat="false" ht="23.85" hidden="false" customHeight="false" outlineLevel="0" collapsed="false">
      <c r="A3" s="11" t="s">
        <v>177</v>
      </c>
      <c r="B3" s="12" t="s">
        <v>178</v>
      </c>
      <c r="C3" s="5" t="s">
        <v>179</v>
      </c>
      <c r="D3" s="11" t="s">
        <v>180</v>
      </c>
      <c r="E3" s="11" t="s">
        <v>181</v>
      </c>
      <c r="F3" s="14" t="s">
        <v>107</v>
      </c>
    </row>
    <row r="4" customFormat="false" ht="23.85" hidden="false" customHeight="false" outlineLevel="0" collapsed="false">
      <c r="A4" s="9" t="s">
        <v>182</v>
      </c>
      <c r="B4" s="10" t="s">
        <v>183</v>
      </c>
      <c r="C4" s="4" t="s">
        <v>184</v>
      </c>
      <c r="D4" s="9" t="s">
        <v>185</v>
      </c>
      <c r="E4" s="9" t="s">
        <v>186</v>
      </c>
      <c r="F4" s="15" t="s">
        <v>107</v>
      </c>
    </row>
    <row r="5" customFormat="false" ht="15" hidden="false" customHeight="false" outlineLevel="0" collapsed="false">
      <c r="A5" s="11" t="s">
        <v>187</v>
      </c>
      <c r="B5" s="12" t="s">
        <v>188</v>
      </c>
      <c r="C5" s="5" t="s">
        <v>189</v>
      </c>
      <c r="D5" s="11" t="s">
        <v>190</v>
      </c>
      <c r="E5" s="11" t="s">
        <v>191</v>
      </c>
      <c r="F5" s="11" t="s">
        <v>38</v>
      </c>
    </row>
    <row r="6" customFormat="false" ht="15" hidden="false" customHeight="false" outlineLevel="0" collapsed="false">
      <c r="A6" s="9" t="s">
        <v>192</v>
      </c>
      <c r="B6" s="10" t="s">
        <v>193</v>
      </c>
      <c r="C6" s="4" t="s">
        <v>194</v>
      </c>
      <c r="D6" s="9" t="s">
        <v>195</v>
      </c>
      <c r="E6" s="9" t="s">
        <v>196</v>
      </c>
      <c r="F6" s="9" t="s">
        <v>38</v>
      </c>
    </row>
    <row r="7" customFormat="false" ht="23.85" hidden="false" customHeight="false" outlineLevel="0" collapsed="false">
      <c r="A7" s="11" t="s">
        <v>197</v>
      </c>
      <c r="B7" s="12" t="s">
        <v>198</v>
      </c>
      <c r="C7" s="5" t="s">
        <v>199</v>
      </c>
      <c r="D7" s="11" t="s">
        <v>200</v>
      </c>
      <c r="E7" s="11" t="s">
        <v>201</v>
      </c>
      <c r="F7" s="14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8"/>
    <col collapsed="false" customWidth="true" hidden="false" outlineLevel="0" max="7" min="7" style="0" width="58"/>
    <col collapsed="false" customWidth="true" hidden="false" outlineLevel="0" max="8" min="8" style="0" width="8"/>
  </cols>
  <sheetData>
    <row r="1" customFormat="false" ht="15" hidden="false" customHeight="false" outlineLevel="0" collapsed="false">
      <c r="A1" s="17" t="s">
        <v>202</v>
      </c>
      <c r="B1" s="18" t="n">
        <v>0.1</v>
      </c>
      <c r="C1" s="19" t="s">
        <v>203</v>
      </c>
    </row>
    <row r="2" customFormat="false" ht="26.85" hidden="false" customHeight="false" outlineLevel="0" collapsed="false">
      <c r="A2" s="8" t="s">
        <v>17</v>
      </c>
      <c r="B2" s="3" t="s">
        <v>18</v>
      </c>
      <c r="C2" s="3" t="s">
        <v>204</v>
      </c>
      <c r="D2" s="8" t="s">
        <v>205</v>
      </c>
      <c r="E2" s="8" t="s">
        <v>206</v>
      </c>
      <c r="F2" s="3" t="s">
        <v>207</v>
      </c>
      <c r="G2" s="3" t="s">
        <v>208</v>
      </c>
      <c r="H2" s="3" t="s">
        <v>209</v>
      </c>
    </row>
    <row r="3" customFormat="false" ht="15" hidden="false" customHeight="false" outlineLevel="0" collapsed="false">
      <c r="A3" s="9" t="s">
        <v>210</v>
      </c>
      <c r="B3" s="10" t="s">
        <v>211</v>
      </c>
      <c r="C3" s="9" t="s">
        <v>140</v>
      </c>
      <c r="D3" s="9" t="s">
        <v>212</v>
      </c>
      <c r="E3" s="4" t="n">
        <f aca="false">ROUND(37*(1+$B$1*10),0)</f>
        <v>74</v>
      </c>
      <c r="F3" s="4" t="n">
        <v>3</v>
      </c>
      <c r="G3" s="4" t="s">
        <v>213</v>
      </c>
      <c r="H3" s="4" t="n">
        <v>1</v>
      </c>
    </row>
    <row r="4" customFormat="false" ht="15" hidden="false" customHeight="false" outlineLevel="0" collapsed="false">
      <c r="A4" s="11" t="s">
        <v>214</v>
      </c>
      <c r="B4" s="12" t="s">
        <v>215</v>
      </c>
      <c r="C4" s="11" t="s">
        <v>140</v>
      </c>
      <c r="D4" s="11" t="s">
        <v>216</v>
      </c>
      <c r="E4" s="5" t="n">
        <f aca="false">ROUND(34*(1+$B$1*10),0)</f>
        <v>68</v>
      </c>
      <c r="F4" s="5" t="n">
        <v>3</v>
      </c>
      <c r="G4" s="5" t="s">
        <v>217</v>
      </c>
      <c r="H4" s="5" t="n">
        <v>1</v>
      </c>
    </row>
    <row r="5" customFormat="false" ht="15" hidden="false" customHeight="false" outlineLevel="0" collapsed="false">
      <c r="A5" s="9" t="s">
        <v>218</v>
      </c>
      <c r="B5" s="10" t="s">
        <v>219</v>
      </c>
      <c r="C5" s="9" t="s">
        <v>140</v>
      </c>
      <c r="D5" s="9" t="s">
        <v>220</v>
      </c>
      <c r="E5" s="4" t="n">
        <f aca="false">ROUND(40*(1+$B$1*10),0)</f>
        <v>80</v>
      </c>
      <c r="F5" s="4" t="n">
        <v>3</v>
      </c>
      <c r="G5" s="4" t="s">
        <v>221</v>
      </c>
      <c r="H5" s="4" t="n">
        <v>1</v>
      </c>
    </row>
    <row r="6" customFormat="false" ht="15" hidden="false" customHeight="false" outlineLevel="0" collapsed="false">
      <c r="A6" s="11" t="s">
        <v>222</v>
      </c>
      <c r="B6" s="12" t="s">
        <v>223</v>
      </c>
      <c r="C6" s="11" t="s">
        <v>140</v>
      </c>
      <c r="D6" s="11" t="s">
        <v>224</v>
      </c>
      <c r="E6" s="5" t="n">
        <f aca="false">ROUND(44*(1+$B$1*10),0)</f>
        <v>88</v>
      </c>
      <c r="F6" s="5" t="n">
        <v>3</v>
      </c>
      <c r="G6" s="5" t="s">
        <v>225</v>
      </c>
      <c r="H6" s="5" t="n">
        <v>1</v>
      </c>
    </row>
    <row r="7" customFormat="false" ht="15" hidden="false" customHeight="false" outlineLevel="0" collapsed="false">
      <c r="A7" s="9" t="s">
        <v>226</v>
      </c>
      <c r="B7" s="10" t="s">
        <v>227</v>
      </c>
      <c r="C7" s="9" t="s">
        <v>140</v>
      </c>
      <c r="D7" s="9" t="s">
        <v>228</v>
      </c>
      <c r="E7" s="4" t="n">
        <f aca="false">ROUND(47*(1+$B$1*10),0)</f>
        <v>94</v>
      </c>
      <c r="F7" s="4" t="n">
        <v>3</v>
      </c>
      <c r="G7" s="4" t="s">
        <v>229</v>
      </c>
      <c r="H7" s="4" t="n">
        <v>1</v>
      </c>
    </row>
    <row r="8" customFormat="false" ht="15" hidden="false" customHeight="false" outlineLevel="0" collapsed="false">
      <c r="A8" s="11" t="s">
        <v>230</v>
      </c>
      <c r="B8" s="12" t="s">
        <v>231</v>
      </c>
      <c r="C8" s="11" t="s">
        <v>140</v>
      </c>
      <c r="D8" s="11" t="s">
        <v>232</v>
      </c>
      <c r="E8" s="5" t="n">
        <f aca="false">ROUND(55*(1+$B$1*10),0)</f>
        <v>110</v>
      </c>
      <c r="F8" s="5" t="n">
        <v>3</v>
      </c>
      <c r="G8" s="5" t="s">
        <v>233</v>
      </c>
      <c r="H8" s="5" t="n">
        <v>1</v>
      </c>
    </row>
    <row r="9" customFormat="false" ht="15" hidden="false" customHeight="false" outlineLevel="0" collapsed="false">
      <c r="A9" s="9" t="s">
        <v>234</v>
      </c>
      <c r="B9" s="10" t="s">
        <v>235</v>
      </c>
      <c r="C9" s="15" t="s">
        <v>236</v>
      </c>
      <c r="D9" s="9" t="s">
        <v>237</v>
      </c>
      <c r="E9" s="4" t="n">
        <f aca="false">ROUND(70*(1+$B$1*10),0)</f>
        <v>140</v>
      </c>
      <c r="F9" s="4" t="n">
        <v>3</v>
      </c>
      <c r="G9" s="4" t="s">
        <v>238</v>
      </c>
      <c r="H9" s="4" t="n">
        <v>1</v>
      </c>
    </row>
    <row r="10" customFormat="false" ht="29.85" hidden="false" customHeight="false" outlineLevel="0" collapsed="false">
      <c r="A10" s="11" t="s">
        <v>239</v>
      </c>
      <c r="B10" s="12" t="s">
        <v>240</v>
      </c>
      <c r="C10" s="16" t="s">
        <v>241</v>
      </c>
      <c r="D10" s="11" t="s">
        <v>242</v>
      </c>
      <c r="E10" s="5" t="n">
        <f aca="false">ROUND(115*(1+$B$1*10),0)</f>
        <v>230</v>
      </c>
      <c r="F10" s="5" t="n">
        <v>5</v>
      </c>
      <c r="G10" s="11" t="s">
        <v>243</v>
      </c>
      <c r="H10" s="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0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3" t="s">
        <v>244</v>
      </c>
      <c r="B1" s="3" t="s">
        <v>245</v>
      </c>
      <c r="C1" s="3" t="s">
        <v>246</v>
      </c>
      <c r="D1" s="3" t="s">
        <v>247</v>
      </c>
      <c r="E1" s="3" t="s">
        <v>169</v>
      </c>
      <c r="F1" s="3" t="s">
        <v>248</v>
      </c>
    </row>
    <row r="2" customFormat="false" ht="15" hidden="false" customHeight="false" outlineLevel="0" collapsed="false">
      <c r="A2" s="9" t="s">
        <v>210</v>
      </c>
      <c r="B2" s="4" t="s">
        <v>211</v>
      </c>
      <c r="C2" s="9" t="s">
        <v>249</v>
      </c>
      <c r="D2" s="4" t="s">
        <v>250</v>
      </c>
      <c r="E2" s="4" t="s">
        <v>21</v>
      </c>
      <c r="F2" s="9" t="s">
        <v>251</v>
      </c>
    </row>
    <row r="3" customFormat="false" ht="15" hidden="false" customHeight="false" outlineLevel="0" collapsed="false">
      <c r="A3" s="11" t="s">
        <v>210</v>
      </c>
      <c r="B3" s="5" t="s">
        <v>211</v>
      </c>
      <c r="C3" s="11" t="s">
        <v>252</v>
      </c>
      <c r="D3" s="5" t="s">
        <v>253</v>
      </c>
      <c r="E3" s="5" t="s">
        <v>21</v>
      </c>
      <c r="F3" s="11" t="s">
        <v>254</v>
      </c>
    </row>
    <row r="4" customFormat="false" ht="15" hidden="false" customHeight="false" outlineLevel="0" collapsed="false">
      <c r="A4" s="9" t="s">
        <v>210</v>
      </c>
      <c r="B4" s="4" t="s">
        <v>211</v>
      </c>
      <c r="C4" s="9" t="s">
        <v>255</v>
      </c>
      <c r="D4" s="4" t="s">
        <v>256</v>
      </c>
      <c r="E4" s="4" t="s">
        <v>257</v>
      </c>
      <c r="F4" s="9" t="s">
        <v>143</v>
      </c>
    </row>
    <row r="5" customFormat="false" ht="15" hidden="false" customHeight="false" outlineLevel="0" collapsed="false">
      <c r="A5" s="11" t="s">
        <v>214</v>
      </c>
      <c r="B5" s="5" t="s">
        <v>215</v>
      </c>
      <c r="C5" s="11" t="s">
        <v>258</v>
      </c>
      <c r="D5" s="5" t="s">
        <v>259</v>
      </c>
      <c r="E5" s="5" t="s">
        <v>21</v>
      </c>
      <c r="F5" s="11" t="s">
        <v>260</v>
      </c>
    </row>
    <row r="6" customFormat="false" ht="15" hidden="false" customHeight="false" outlineLevel="0" collapsed="false">
      <c r="A6" s="9" t="s">
        <v>214</v>
      </c>
      <c r="B6" s="4" t="s">
        <v>215</v>
      </c>
      <c r="C6" s="9" t="s">
        <v>261</v>
      </c>
      <c r="D6" s="4" t="s">
        <v>262</v>
      </c>
      <c r="E6" s="4" t="s">
        <v>257</v>
      </c>
      <c r="F6" s="9" t="s">
        <v>143</v>
      </c>
    </row>
    <row r="7" customFormat="false" ht="15" hidden="false" customHeight="false" outlineLevel="0" collapsed="false">
      <c r="A7" s="11" t="s">
        <v>214</v>
      </c>
      <c r="B7" s="5" t="s">
        <v>215</v>
      </c>
      <c r="C7" s="11" t="s">
        <v>263</v>
      </c>
      <c r="D7" s="5" t="s">
        <v>264</v>
      </c>
      <c r="E7" s="5" t="s">
        <v>21</v>
      </c>
      <c r="F7" s="11" t="s">
        <v>265</v>
      </c>
    </row>
    <row r="8" customFormat="false" ht="15" hidden="false" customHeight="false" outlineLevel="0" collapsed="false">
      <c r="A8" s="9" t="s">
        <v>218</v>
      </c>
      <c r="B8" s="4" t="s">
        <v>219</v>
      </c>
      <c r="C8" s="9" t="s">
        <v>266</v>
      </c>
      <c r="D8" s="4" t="s">
        <v>267</v>
      </c>
      <c r="E8" s="4" t="s">
        <v>21</v>
      </c>
      <c r="F8" s="9" t="s">
        <v>260</v>
      </c>
    </row>
    <row r="9" customFormat="false" ht="15" hidden="false" customHeight="false" outlineLevel="0" collapsed="false">
      <c r="A9" s="11" t="s">
        <v>218</v>
      </c>
      <c r="B9" s="5" t="s">
        <v>219</v>
      </c>
      <c r="C9" s="11" t="s">
        <v>268</v>
      </c>
      <c r="D9" s="5" t="s">
        <v>269</v>
      </c>
      <c r="E9" s="5" t="s">
        <v>257</v>
      </c>
      <c r="F9" s="11" t="s">
        <v>143</v>
      </c>
    </row>
    <row r="10" customFormat="false" ht="15" hidden="false" customHeight="false" outlineLevel="0" collapsed="false">
      <c r="A10" s="9" t="s">
        <v>218</v>
      </c>
      <c r="B10" s="4" t="s">
        <v>219</v>
      </c>
      <c r="C10" s="9" t="s">
        <v>270</v>
      </c>
      <c r="D10" s="4" t="s">
        <v>271</v>
      </c>
      <c r="E10" s="4" t="s">
        <v>21</v>
      </c>
      <c r="F10" s="9" t="s">
        <v>265</v>
      </c>
    </row>
    <row r="11" customFormat="false" ht="15" hidden="false" customHeight="false" outlineLevel="0" collapsed="false">
      <c r="A11" s="11" t="s">
        <v>222</v>
      </c>
      <c r="B11" s="5" t="s">
        <v>223</v>
      </c>
      <c r="C11" s="11" t="s">
        <v>266</v>
      </c>
      <c r="D11" s="5" t="s">
        <v>272</v>
      </c>
      <c r="E11" s="5" t="s">
        <v>21</v>
      </c>
      <c r="F11" s="11" t="s">
        <v>254</v>
      </c>
    </row>
    <row r="12" customFormat="false" ht="15" hidden="false" customHeight="false" outlineLevel="0" collapsed="false">
      <c r="A12" s="9" t="s">
        <v>222</v>
      </c>
      <c r="B12" s="4" t="s">
        <v>223</v>
      </c>
      <c r="C12" s="9" t="s">
        <v>273</v>
      </c>
      <c r="D12" s="4" t="s">
        <v>274</v>
      </c>
      <c r="E12" s="4" t="s">
        <v>257</v>
      </c>
      <c r="F12" s="9" t="s">
        <v>143</v>
      </c>
    </row>
    <row r="13" customFormat="false" ht="15" hidden="false" customHeight="false" outlineLevel="0" collapsed="false">
      <c r="A13" s="11" t="s">
        <v>222</v>
      </c>
      <c r="B13" s="5" t="s">
        <v>223</v>
      </c>
      <c r="C13" s="11" t="s">
        <v>275</v>
      </c>
      <c r="D13" s="5" t="s">
        <v>276</v>
      </c>
      <c r="E13" s="5" t="s">
        <v>21</v>
      </c>
      <c r="F13" s="11" t="s">
        <v>277</v>
      </c>
    </row>
    <row r="14" customFormat="false" ht="15" hidden="false" customHeight="false" outlineLevel="0" collapsed="false">
      <c r="A14" s="9" t="s">
        <v>226</v>
      </c>
      <c r="B14" s="4" t="s">
        <v>227</v>
      </c>
      <c r="C14" s="9" t="s">
        <v>278</v>
      </c>
      <c r="D14" s="4" t="s">
        <v>279</v>
      </c>
      <c r="E14" s="4" t="s">
        <v>21</v>
      </c>
      <c r="F14" s="9" t="s">
        <v>260</v>
      </c>
    </row>
    <row r="15" customFormat="false" ht="15" hidden="false" customHeight="false" outlineLevel="0" collapsed="false">
      <c r="A15" s="11" t="s">
        <v>226</v>
      </c>
      <c r="B15" s="5" t="s">
        <v>227</v>
      </c>
      <c r="C15" s="11" t="s">
        <v>280</v>
      </c>
      <c r="D15" s="5" t="s">
        <v>281</v>
      </c>
      <c r="E15" s="5" t="s">
        <v>257</v>
      </c>
      <c r="F15" s="11" t="s">
        <v>143</v>
      </c>
    </row>
    <row r="16" customFormat="false" ht="15" hidden="false" customHeight="false" outlineLevel="0" collapsed="false">
      <c r="A16" s="9" t="s">
        <v>226</v>
      </c>
      <c r="B16" s="4" t="s">
        <v>227</v>
      </c>
      <c r="C16" s="9" t="s">
        <v>282</v>
      </c>
      <c r="D16" s="4" t="s">
        <v>283</v>
      </c>
      <c r="E16" s="4" t="s">
        <v>21</v>
      </c>
      <c r="F16" s="9" t="s">
        <v>284</v>
      </c>
    </row>
    <row r="17" customFormat="false" ht="15" hidden="false" customHeight="false" outlineLevel="0" collapsed="false">
      <c r="A17" s="11" t="s">
        <v>230</v>
      </c>
      <c r="B17" s="5" t="s">
        <v>231</v>
      </c>
      <c r="C17" s="11" t="s">
        <v>285</v>
      </c>
      <c r="D17" s="5" t="s">
        <v>286</v>
      </c>
      <c r="E17" s="5" t="s">
        <v>21</v>
      </c>
      <c r="F17" s="11" t="s">
        <v>287</v>
      </c>
    </row>
    <row r="18" customFormat="false" ht="15" hidden="false" customHeight="false" outlineLevel="0" collapsed="false">
      <c r="A18" s="9" t="s">
        <v>230</v>
      </c>
      <c r="B18" s="4" t="s">
        <v>231</v>
      </c>
      <c r="C18" s="9" t="s">
        <v>288</v>
      </c>
      <c r="D18" s="4" t="s">
        <v>289</v>
      </c>
      <c r="E18" s="4" t="s">
        <v>257</v>
      </c>
      <c r="F18" s="9" t="s">
        <v>143</v>
      </c>
    </row>
    <row r="19" customFormat="false" ht="15" hidden="false" customHeight="false" outlineLevel="0" collapsed="false">
      <c r="A19" s="11" t="s">
        <v>230</v>
      </c>
      <c r="B19" s="5" t="s">
        <v>231</v>
      </c>
      <c r="C19" s="11" t="s">
        <v>290</v>
      </c>
      <c r="D19" s="5" t="s">
        <v>291</v>
      </c>
      <c r="E19" s="5" t="s">
        <v>21</v>
      </c>
      <c r="F19" s="11" t="s">
        <v>292</v>
      </c>
    </row>
    <row r="20" customFormat="false" ht="15" hidden="false" customHeight="false" outlineLevel="0" collapsed="false">
      <c r="A20" s="9" t="s">
        <v>234</v>
      </c>
      <c r="B20" s="4" t="s">
        <v>235</v>
      </c>
      <c r="C20" s="9" t="s">
        <v>266</v>
      </c>
      <c r="D20" s="4" t="s">
        <v>272</v>
      </c>
      <c r="E20" s="4" t="s">
        <v>21</v>
      </c>
      <c r="F20" s="9" t="s">
        <v>265</v>
      </c>
    </row>
    <row r="21" customFormat="false" ht="15" hidden="false" customHeight="false" outlineLevel="0" collapsed="false">
      <c r="A21" s="11" t="s">
        <v>234</v>
      </c>
      <c r="B21" s="5" t="s">
        <v>235</v>
      </c>
      <c r="C21" s="11" t="s">
        <v>293</v>
      </c>
      <c r="D21" s="5" t="s">
        <v>294</v>
      </c>
      <c r="E21" s="5" t="s">
        <v>257</v>
      </c>
      <c r="F21" s="11" t="s">
        <v>143</v>
      </c>
    </row>
    <row r="22" customFormat="false" ht="15" hidden="false" customHeight="false" outlineLevel="0" collapsed="false">
      <c r="A22" s="9" t="s">
        <v>234</v>
      </c>
      <c r="B22" s="4" t="s">
        <v>235</v>
      </c>
      <c r="C22" s="9" t="s">
        <v>295</v>
      </c>
      <c r="D22" s="4" t="s">
        <v>296</v>
      </c>
      <c r="E22" s="4" t="s">
        <v>21</v>
      </c>
      <c r="F22" s="9" t="s">
        <v>297</v>
      </c>
    </row>
    <row r="23" customFormat="false" ht="15" hidden="false" customHeight="false" outlineLevel="0" collapsed="false">
      <c r="A23" s="11" t="s">
        <v>239</v>
      </c>
      <c r="B23" s="5" t="s">
        <v>240</v>
      </c>
      <c r="C23" s="11" t="s">
        <v>266</v>
      </c>
      <c r="D23" s="5" t="s">
        <v>272</v>
      </c>
      <c r="E23" s="5" t="s">
        <v>21</v>
      </c>
      <c r="F23" s="11" t="s">
        <v>298</v>
      </c>
    </row>
    <row r="24" customFormat="false" ht="15" hidden="false" customHeight="false" outlineLevel="0" collapsed="false">
      <c r="A24" s="9" t="s">
        <v>239</v>
      </c>
      <c r="B24" s="4" t="s">
        <v>240</v>
      </c>
      <c r="C24" s="9" t="s">
        <v>293</v>
      </c>
      <c r="D24" s="4" t="s">
        <v>294</v>
      </c>
      <c r="E24" s="4" t="s">
        <v>257</v>
      </c>
      <c r="F24" s="9" t="s">
        <v>143</v>
      </c>
    </row>
    <row r="25" customFormat="false" ht="15" hidden="false" customHeight="false" outlineLevel="0" collapsed="false">
      <c r="A25" s="11" t="s">
        <v>239</v>
      </c>
      <c r="B25" s="5" t="s">
        <v>240</v>
      </c>
      <c r="C25" s="11" t="s">
        <v>299</v>
      </c>
      <c r="D25" s="5" t="s">
        <v>300</v>
      </c>
      <c r="E25" s="5" t="s">
        <v>257</v>
      </c>
      <c r="F25" s="11" t="s">
        <v>143</v>
      </c>
    </row>
    <row r="26" customFormat="false" ht="15" hidden="false" customHeight="false" outlineLevel="0" collapsed="false">
      <c r="A26" s="9" t="s">
        <v>239</v>
      </c>
      <c r="B26" s="4" t="s">
        <v>240</v>
      </c>
      <c r="C26" s="9" t="s">
        <v>301</v>
      </c>
      <c r="D26" s="4" t="s">
        <v>302</v>
      </c>
      <c r="E26" s="4" t="s">
        <v>21</v>
      </c>
      <c r="F26" s="9" t="s">
        <v>303</v>
      </c>
    </row>
    <row r="27" customFormat="false" ht="15" hidden="false" customHeight="false" outlineLevel="0" collapsed="false">
      <c r="A27" s="11" t="s">
        <v>239</v>
      </c>
      <c r="B27" s="5" t="s">
        <v>240</v>
      </c>
      <c r="C27" s="11" t="s">
        <v>304</v>
      </c>
      <c r="D27" s="5" t="s">
        <v>305</v>
      </c>
      <c r="E27" s="5" t="s">
        <v>21</v>
      </c>
      <c r="F27" s="11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2026-08-05T11:05:47Z</dcterms:created>
  <dc:creator>openpyxl</dc:creator>
  <dc:description/>
  <dc:language>en-US</dc:language>
  <cp:lastModifiedBy/>
  <dcterms:modified xsi:type="dcterms:W3CDTF">2026-08-05T11:05:47Z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