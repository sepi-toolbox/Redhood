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개요" sheetId="1" state="visible" r:id="rId3"/>
    <sheet name="족보" sheetId="2" state="visible" r:id="rId4"/>
    <sheet name="사기주사위" sheetId="3" state="visible" r:id="rId5"/>
    <sheet name="유물" sheetId="4" state="visible" r:id="rId6"/>
    <sheet name="적" sheetId="5" state="visible" r:id="rId7"/>
    <sheet name="적행동" sheetId="6" state="visible" r:id="rId8"/>
    <sheet name="무기" sheetId="7" state="visible" r:id="rId9"/>
    <sheet name="대화이벤트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<sst xmlns="http://schemas.openxmlformats.org/spreadsheetml/2006/main" count="784" uniqueCount="487">
  <si>
    <r>
      <rPr>
        <b val="true"/>
        <sz val="16"/>
        <color rgb="FFA02C25"/>
        <rFont val="Malgun Gothic"/>
        <family val="0"/>
        <charset val="1"/>
      </rPr>
      <t xml:space="preserve">REDHOOD </t>
    </r>
    <r>
      <rPr>
        <b val="true"/>
        <sz val="16"/>
        <color rgb="FFA02C25"/>
        <rFont val="Noto Sans CJK SC"/>
        <family val="2"/>
      </rPr>
      <t xml:space="preserve">게임 데이터 </t>
    </r>
    <r>
      <rPr>
        <b val="true"/>
        <sz val="16"/>
        <color rgb="FFA02C25"/>
        <rFont val="Malgun Gothic"/>
        <family val="0"/>
        <charset val="1"/>
      </rPr>
      <t xml:space="preserve">DB</t>
    </r>
  </si>
  <si>
    <r>
      <rPr>
        <i val="true"/>
        <sz val="10"/>
        <rFont val="Noto Sans CJK SC"/>
        <family val="2"/>
      </rPr>
      <t xml:space="preserve">정본</t>
    </r>
    <r>
      <rPr>
        <i val="true"/>
        <sz val="10"/>
        <rFont val="Malgun Gothic"/>
        <family val="0"/>
        <charset val="1"/>
      </rPr>
      <t xml:space="preserve">(source of truth)</t>
    </r>
    <r>
      <rPr>
        <i val="true"/>
        <sz val="10"/>
        <rFont val="Noto Sans CJK SC"/>
        <family val="2"/>
      </rPr>
      <t xml:space="preserve">은 저장소의 </t>
    </r>
    <r>
      <rPr>
        <i val="true"/>
        <sz val="10"/>
        <rFont val="Malgun Gothic"/>
        <family val="0"/>
        <charset val="1"/>
      </rPr>
      <t xml:space="preserve">data/*.json — </t>
    </r>
    <r>
      <rPr>
        <i val="true"/>
        <sz val="10"/>
        <rFont val="Noto Sans CJK SC"/>
        <family val="2"/>
      </rPr>
      <t xml:space="preserve">이 문서는 검토용 뷰</t>
    </r>
    <r>
      <rPr>
        <i val="true"/>
        <sz val="10"/>
        <rFont val="Malgun Gothic"/>
        <family val="0"/>
        <charset val="1"/>
      </rPr>
      <t xml:space="preserve">. </t>
    </r>
    <r>
      <rPr>
        <i val="true"/>
        <sz val="10"/>
        <rFont val="Noto Sans CJK SC"/>
        <family val="2"/>
      </rPr>
      <t xml:space="preserve">수치 수정은 </t>
    </r>
    <r>
      <rPr>
        <i val="true"/>
        <sz val="10"/>
        <rFont val="Malgun Gothic"/>
        <family val="0"/>
        <charset val="1"/>
      </rPr>
      <t xml:space="preserve">JSON</t>
    </r>
    <r>
      <rPr>
        <i val="true"/>
        <sz val="10"/>
        <rFont val="Noto Sans CJK SC"/>
        <family val="2"/>
      </rPr>
      <t xml:space="preserve">에</t>
    </r>
    <r>
      <rPr>
        <i val="true"/>
        <sz val="10"/>
        <rFont val="Malgun Gothic"/>
        <family val="0"/>
        <charset val="1"/>
      </rPr>
      <t xml:space="preserve">.</t>
    </r>
  </si>
  <si>
    <t xml:space="preserve">시트</t>
  </si>
  <si>
    <t xml:space="preserve">내용</t>
  </si>
  <si>
    <t xml:space="preserve">항목 수</t>
  </si>
  <si>
    <t xml:space="preserve">족보</t>
  </si>
  <si>
    <r>
      <rPr>
        <sz val="10"/>
        <rFont val="Noto Sans CJK SC"/>
        <family val="2"/>
      </rPr>
      <t xml:space="preserve">변형 </t>
    </r>
    <r>
      <rPr>
        <sz val="10"/>
        <rFont val="Malgun Gothic"/>
        <family val="0"/>
        <charset val="1"/>
      </rPr>
      <t xml:space="preserve">26</t>
    </r>
    <r>
      <rPr>
        <sz val="10"/>
        <rFont val="Noto Sans CJK SC"/>
        <family val="2"/>
      </rPr>
      <t xml:space="preserve">종 — 판정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부가 능력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이펙트 </t>
    </r>
    <r>
      <rPr>
        <sz val="10"/>
        <rFont val="Malgun Gothic"/>
        <family val="0"/>
        <charset val="1"/>
      </rPr>
      <t xml:space="preserve">(data/scoring.json)</t>
    </r>
  </si>
  <si>
    <t xml:space="preserve">사기주사위</t>
  </si>
  <si>
    <r>
      <rPr>
        <sz val="10"/>
        <rFont val="Noto Sans CJK SC"/>
        <family val="2"/>
      </rPr>
      <t xml:space="preserve">면 구성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특수 규칙 </t>
    </r>
    <r>
      <rPr>
        <sz val="10"/>
        <rFont val="Malgun Gothic"/>
        <family val="0"/>
        <charset val="1"/>
      </rPr>
      <t xml:space="preserve">(data/dice.json)</t>
    </r>
  </si>
  <si>
    <t xml:space="preserve">유물</t>
  </si>
  <si>
    <r>
      <rPr>
        <sz val="10"/>
        <rFont val="Noto Sans CJK SC"/>
        <family val="2"/>
      </rPr>
      <t xml:space="preserve">효과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훅 </t>
    </r>
    <r>
      <rPr>
        <sz val="10"/>
        <rFont val="Malgun Gothic"/>
        <family val="0"/>
        <charset val="1"/>
      </rPr>
      <t xml:space="preserve">(data/relics.json)</t>
    </r>
  </si>
  <si>
    <t xml:space="preserve">적</t>
  </si>
  <si>
    <r>
      <rPr>
        <sz val="10"/>
        <rFont val="Noto Sans CJK SC"/>
        <family val="2"/>
      </rPr>
      <t xml:space="preserve">개체 스탯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패턴 </t>
    </r>
    <r>
      <rPr>
        <sz val="10"/>
        <rFont val="Malgun Gothic"/>
        <family val="0"/>
        <charset val="1"/>
      </rPr>
      <t xml:space="preserve">(data/enemies.json)</t>
    </r>
  </si>
  <si>
    <t xml:space="preserve">적 행동</t>
  </si>
  <si>
    <t xml:space="preserve">행동별 효과 수치</t>
  </si>
  <si>
    <r>
      <rPr>
        <sz val="10"/>
        <rFont val="Noto Sans CJK SC"/>
        <family val="2"/>
      </rPr>
      <t xml:space="preserve">프로토타입 </t>
    </r>
    <r>
      <rPr>
        <sz val="10"/>
        <rFont val="Malgun Gothic"/>
        <family val="0"/>
        <charset val="1"/>
      </rPr>
      <t xml:space="preserve">v0.10 </t>
    </r>
    <r>
      <rPr>
        <sz val="10"/>
        <rFont val="Noto Sans CJK SC"/>
        <family val="2"/>
      </rPr>
      <t xml:space="preserve">기준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상단 보너스</t>
    </r>
    <r>
      <rPr>
        <sz val="10"/>
        <rFont val="Malgun Gothic"/>
        <family val="0"/>
        <charset val="1"/>
      </rPr>
      <t xml:space="preserve">: </t>
    </r>
    <r>
      <rPr>
        <sz val="10"/>
        <rFont val="Noto Sans CJK SC"/>
        <family val="2"/>
      </rPr>
      <t xml:space="preserve">누적 </t>
    </r>
    <r>
      <rPr>
        <sz val="10"/>
        <rFont val="Malgun Gothic"/>
        <family val="0"/>
        <charset val="1"/>
      </rPr>
      <t xml:space="preserve">40</t>
    </r>
    <r>
      <rPr>
        <sz val="10"/>
        <rFont val="Noto Sans CJK SC"/>
        <family val="2"/>
      </rPr>
      <t xml:space="preserve">마다 </t>
    </r>
    <r>
      <rPr>
        <sz val="10"/>
        <rFont val="Malgun Gothic"/>
        <family val="0"/>
        <charset val="1"/>
      </rPr>
      <t xml:space="preserve">+25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리롤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회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턴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족보 변형 누적 수집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등급 </t>
    </r>
    <r>
      <rPr>
        <sz val="10"/>
        <rFont val="Malgun Gothic"/>
        <family val="0"/>
        <charset val="1"/>
      </rPr>
      <t xml:space="preserve">4</t>
    </r>
    <r>
      <rPr>
        <sz val="10"/>
        <rFont val="Noto Sans CJK SC"/>
        <family val="2"/>
      </rPr>
      <t xml:space="preserve">체계</t>
    </r>
    <r>
      <rPr>
        <sz val="10"/>
        <rFont val="Malgun Gothic"/>
        <family val="0"/>
        <charset val="1"/>
      </rPr>
      <t xml:space="preserve">(common/uncommon/rare(</t>
    </r>
    <r>
      <rPr>
        <sz val="10"/>
        <rFont val="Noto Sans CJK SC"/>
        <family val="2"/>
      </rPr>
      <t xml:space="preserve">보라</t>
    </r>
    <r>
      <rPr>
        <sz val="10"/>
        <rFont val="Malgun Gothic"/>
        <family val="0"/>
        <charset val="1"/>
      </rPr>
      <t xml:space="preserve">)/epic(</t>
    </r>
    <r>
      <rPr>
        <sz val="10"/>
        <rFont val="Noto Sans CJK SC"/>
        <family val="2"/>
      </rPr>
      <t xml:space="preserve">금</t>
    </r>
    <r>
      <rPr>
        <sz val="10"/>
        <rFont val="Malgun Gothic"/>
        <family val="0"/>
        <charset val="1"/>
      </rPr>
      <t xml:space="preserve">)) · </t>
    </r>
    <r>
      <rPr>
        <sz val="10"/>
        <rFont val="Noto Sans CJK SC"/>
        <family val="2"/>
      </rPr>
      <t xml:space="preserve">시작 족보</t>
    </r>
    <r>
      <rPr>
        <sz val="10"/>
        <rFont val="Malgun Gothic"/>
        <family val="0"/>
        <charset val="1"/>
      </rPr>
      <t xml:space="preserve">=</t>
    </r>
    <r>
      <rPr>
        <sz val="10"/>
        <rFont val="Noto Sans CJK SC"/>
        <family val="2"/>
      </rPr>
      <t xml:space="preserve">무기 선택</t>
    </r>
  </si>
  <si>
    <r>
      <rPr>
        <i val="true"/>
        <sz val="9"/>
        <color rgb="FF7A5C38"/>
        <rFont val="Noto Sans CJK SC"/>
        <family val="2"/>
      </rPr>
      <t xml:space="preserve">기대 피해</t>
    </r>
    <r>
      <rPr>
        <i val="true"/>
        <sz val="9"/>
        <color rgb="FF7A5C38"/>
        <rFont val="Malgun Gothic"/>
        <family val="0"/>
        <charset val="1"/>
      </rPr>
      <t xml:space="preserve">(EV)</t>
    </r>
    <r>
      <rPr>
        <i val="true"/>
        <sz val="9"/>
        <color rgb="FF7A5C38"/>
        <rFont val="Noto Sans CJK SC"/>
        <family val="2"/>
      </rPr>
      <t xml:space="preserve">는 몬테카를로 </t>
    </r>
    <r>
      <rPr>
        <i val="true"/>
        <sz val="9"/>
        <color rgb="FF7A5C38"/>
        <rFont val="Malgun Gothic"/>
        <family val="0"/>
        <charset val="1"/>
      </rPr>
      <t xml:space="preserve">20</t>
    </r>
    <r>
      <rPr>
        <i val="true"/>
        <sz val="9"/>
        <color rgb="FF7A5C38"/>
        <rFont val="Noto Sans CJK SC"/>
        <family val="2"/>
      </rPr>
      <t xml:space="preserve">만 회</t>
    </r>
    <r>
      <rPr>
        <i val="true"/>
        <sz val="9"/>
        <color rgb="FF7A5C38"/>
        <rFont val="Malgun Gothic"/>
        <family val="0"/>
        <charset val="1"/>
      </rPr>
      <t xml:space="preserve">(</t>
    </r>
    <r>
      <rPr>
        <i val="true"/>
        <sz val="9"/>
        <color rgb="FF7A5C38"/>
        <rFont val="Noto Sans CJK SC"/>
        <family val="2"/>
      </rPr>
      <t xml:space="preserve">전용 리롤 전략</t>
    </r>
    <r>
      <rPr>
        <i val="true"/>
        <sz val="9"/>
        <color rgb="FF7A5C38"/>
        <rFont val="Malgun Gothic"/>
        <family val="0"/>
        <charset val="1"/>
      </rPr>
      <t xml:space="preserve">, </t>
    </r>
    <r>
      <rPr>
        <i val="true"/>
        <sz val="9"/>
        <color rgb="FF7A5C38"/>
        <rFont val="Noto Sans CJK SC"/>
        <family val="2"/>
      </rPr>
      <t xml:space="preserve">일반 주사위 </t>
    </r>
    <r>
      <rPr>
        <i val="true"/>
        <sz val="9"/>
        <color rgb="FF7A5C38"/>
        <rFont val="Malgun Gothic"/>
        <family val="0"/>
        <charset val="1"/>
      </rPr>
      <t xml:space="preserve">5</t>
    </r>
    <r>
      <rPr>
        <i val="true"/>
        <sz val="9"/>
        <color rgb="FF7A5C38"/>
        <rFont val="Noto Sans CJK SC"/>
        <family val="2"/>
      </rPr>
      <t xml:space="preserve">개</t>
    </r>
    <r>
      <rPr>
        <i val="true"/>
        <sz val="9"/>
        <color rgb="FF7A5C38"/>
        <rFont val="Malgun Gothic"/>
        <family val="0"/>
        <charset val="1"/>
      </rPr>
      <t xml:space="preserve">) </t>
    </r>
    <r>
      <rPr>
        <i val="true"/>
        <sz val="9"/>
        <color rgb="FF7A5C38"/>
        <rFont val="Noto Sans CJK SC"/>
        <family val="2"/>
      </rPr>
      <t xml:space="preserve">측정값</t>
    </r>
    <r>
      <rPr>
        <i val="true"/>
        <sz val="9"/>
        <color rgb="FF7A5C38"/>
        <rFont val="Malgun Gothic"/>
        <family val="0"/>
        <charset val="1"/>
      </rPr>
      <t xml:space="preserve">. †</t>
    </r>
    <r>
      <rPr>
        <i val="true"/>
        <sz val="9"/>
        <color rgb="FF7A5C38"/>
        <rFont val="Noto Sans CJK SC"/>
        <family val="2"/>
      </rPr>
      <t xml:space="preserve">표시는 측정치에서 보간</t>
    </r>
    <r>
      <rPr>
        <i val="true"/>
        <sz val="9"/>
        <color rgb="FF7A5C38"/>
        <rFont val="Malgun Gothic"/>
        <family val="0"/>
        <charset val="1"/>
      </rPr>
      <t xml:space="preserve">.</t>
    </r>
  </si>
  <si>
    <r>
      <rPr>
        <b val="true"/>
        <sz val="10"/>
        <color rgb="FFF5EBD8"/>
        <rFont val="Noto Sans CJK SC"/>
        <family val="2"/>
      </rPr>
      <t xml:space="preserve">족보 </t>
    </r>
    <r>
      <rPr>
        <b val="true"/>
        <sz val="10"/>
        <color rgb="FFF5EBD8"/>
        <rFont val="Malgun Gothic"/>
        <family val="0"/>
        <charset val="1"/>
      </rPr>
      <t xml:space="preserve">id</t>
    </r>
  </si>
  <si>
    <r>
      <rPr>
        <b val="true"/>
        <sz val="10"/>
        <color rgb="FFF5EBD8"/>
        <rFont val="Noto Sans CJK SC"/>
        <family val="2"/>
      </rPr>
      <t xml:space="preserve">변형 </t>
    </r>
    <r>
      <rPr>
        <b val="true"/>
        <sz val="10"/>
        <color rgb="FFF5EBD8"/>
        <rFont val="Malgun Gothic"/>
        <family val="0"/>
        <charset val="1"/>
      </rPr>
      <t xml:space="preserve">id</t>
    </r>
  </si>
  <si>
    <t xml:space="preserve">변형 이름</t>
  </si>
  <si>
    <t xml:space="preserve">부가 능력</t>
  </si>
  <si>
    <t xml:space="preserve">변형 등급</t>
  </si>
  <si>
    <t xml:space="preserve">성립 조건</t>
  </si>
  <si>
    <t xml:space="preserve">피해</t>
  </si>
  <si>
    <t xml:space="preserve">대상</t>
  </si>
  <si>
    <r>
      <rPr>
        <b val="true"/>
        <sz val="10"/>
        <color rgb="FFF5EBD8"/>
        <rFont val="Malgun Gothic"/>
        <family val="0"/>
        <charset val="1"/>
      </rPr>
      <t xml:space="preserve">EV(</t>
    </r>
    <r>
      <rPr>
        <b val="true"/>
        <sz val="10"/>
        <color rgb="FFF5EBD8"/>
        <rFont val="Noto Sans CJK SC"/>
        <family val="2"/>
      </rPr>
      <t xml:space="preserve">참고</t>
    </r>
    <r>
      <rPr>
        <b val="true"/>
        <sz val="10"/>
        <color rgb="FFF5EBD8"/>
        <rFont val="Malgun Gothic"/>
        <family val="0"/>
        <charset val="1"/>
      </rPr>
      <t xml:space="preserve">)</t>
    </r>
  </si>
  <si>
    <t xml:space="preserve">이펙트</t>
  </si>
  <si>
    <t xml:space="preserve">예시</t>
  </si>
  <si>
    <t xml:space="preserve">chance</t>
  </si>
  <si>
    <t xml:space="preserve">찬스</t>
  </si>
  <si>
    <t xml:space="preserve">instinct</t>
  </si>
  <si>
    <t xml:space="preserve">떠돌이의 직감</t>
  </si>
  <si>
    <t xml:space="preserve">부가 없음 — 언제나 믿을 수 있는 한 수</t>
  </si>
  <si>
    <t xml:space="preserve">common</t>
  </si>
  <si>
    <r>
      <rPr>
        <sz val="10"/>
        <rFont val="Noto Sans CJK SC"/>
        <family val="2"/>
      </rPr>
      <t xml:space="preserve">조건 없음 — 항상 성립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가장 높은 눈 </t>
    </r>
    <r>
      <rPr>
        <sz val="10"/>
        <rFont val="Malgun Gothic"/>
        <family val="0"/>
        <charset val="1"/>
      </rPr>
      <t xml:space="preserve">3</t>
    </r>
    <r>
      <rPr>
        <sz val="10"/>
        <rFont val="Noto Sans CJK SC"/>
        <family val="2"/>
      </rPr>
      <t xml:space="preserve">개의 합만큼 피해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</si>
  <si>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상위 눈 </t>
    </r>
    <r>
      <rPr>
        <sz val="10"/>
        <rFont val="Malgun Gothic"/>
        <family val="0"/>
        <charset val="1"/>
      </rPr>
      <t xml:space="preserve">3</t>
    </r>
    <r>
      <rPr>
        <sz val="10"/>
        <rFont val="Noto Sans CJK SC"/>
        <family val="2"/>
      </rPr>
      <t xml:space="preserve">개의 합</t>
    </r>
  </si>
  <si>
    <t xml:space="preserve">단일</t>
  </si>
  <si>
    <t xml:space="preserve">16.4</t>
  </si>
  <si>
    <t xml:space="preserve">베기</t>
  </si>
  <si>
    <t xml:space="preserve">⚅ ⚄ ⚂</t>
  </si>
  <si>
    <t xml:space="preserve">whisper</t>
  </si>
  <si>
    <t xml:space="preserve">숲의 속삭임</t>
  </si>
  <si>
    <r>
      <rPr>
        <sz val="10"/>
        <rFont val="Noto Sans CJK SC"/>
        <family val="2"/>
      </rPr>
      <t xml:space="preserve">다음 턴 리롤 </t>
    </r>
    <r>
      <rPr>
        <sz val="10"/>
        <rFont val="Malgun Gothic"/>
        <family val="0"/>
        <charset val="1"/>
      </rPr>
      <t xml:space="preserve">+1</t>
    </r>
  </si>
  <si>
    <t xml:space="preserve">uncommon</t>
  </si>
  <si>
    <t xml:space="preserve">ones</t>
  </si>
  <si>
    <t xml:space="preserve">에이스</t>
  </si>
  <si>
    <t xml:space="preserve">needle</t>
  </si>
  <si>
    <t xml:space="preserve">바늘 한 땀</t>
  </si>
  <si>
    <r>
      <rPr>
        <sz val="10"/>
        <rFont val="Noto Sans CJK SC"/>
        <family val="2"/>
      </rPr>
      <t xml:space="preserve">굴린 주사위 중 </t>
    </r>
    <r>
      <rPr>
        <sz val="10"/>
        <rFont val="Malgun Gothic"/>
        <family val="0"/>
        <charset val="1"/>
      </rPr>
      <t xml:space="preserve">[1]</t>
    </r>
    <r>
      <rPr>
        <sz val="10"/>
        <rFont val="Noto Sans CJK SC"/>
        <family val="2"/>
      </rPr>
      <t xml:space="preserve">의 합만큼 피해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</si>
  <si>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Malgun Gothic"/>
        <family val="0"/>
        <charset val="1"/>
      </rPr>
      <t xml:space="preserve">[1] </t>
    </r>
    <r>
      <rPr>
        <sz val="10"/>
        <rFont val="Noto Sans CJK SC"/>
        <family val="2"/>
      </rPr>
      <t xml:space="preserve">눈의 합</t>
    </r>
  </si>
  <si>
    <t xml:space="preserve">2.1</t>
  </si>
  <si>
    <t xml:space="preserve">⚀ ⚀ ⚀</t>
  </si>
  <si>
    <t xml:space="preserve">silver_needle</t>
  </si>
  <si>
    <t xml:space="preserve">은바늘</t>
  </si>
  <si>
    <r>
      <rPr>
        <sz val="10"/>
        <rFont val="Malgun Gothic"/>
        <family val="0"/>
        <charset val="1"/>
      </rPr>
      <t xml:space="preserve">HP 2 </t>
    </r>
    <r>
      <rPr>
        <sz val="10"/>
        <rFont val="Noto Sans CJK SC"/>
        <family val="2"/>
      </rPr>
      <t xml:space="preserve">회복</t>
    </r>
  </si>
  <si>
    <t xml:space="preserve">twos</t>
  </si>
  <si>
    <t xml:space="preserve">듀스</t>
  </si>
  <si>
    <t xml:space="preserve">cloak_hem</t>
  </si>
  <si>
    <t xml:space="preserve">붉은 망토 자락</t>
  </si>
  <si>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+</t>
    </r>
    <r>
      <rPr>
        <sz val="10"/>
        <rFont val="Noto Sans CJK SC"/>
        <family val="2"/>
      </rPr>
      <t xml:space="preserve">점수</t>
    </r>
    <r>
      <rPr>
        <sz val="10"/>
        <rFont val="Malgun Gothic"/>
        <family val="0"/>
        <charset val="1"/>
      </rPr>
      <t xml:space="preserve">×2</t>
    </r>
  </si>
  <si>
    <r>
      <rPr>
        <sz val="10"/>
        <rFont val="Noto Sans CJK SC"/>
        <family val="2"/>
      </rPr>
      <t xml:space="preserve">굴린 주사위 중 </t>
    </r>
    <r>
      <rPr>
        <sz val="10"/>
        <rFont val="Malgun Gothic"/>
        <family val="0"/>
        <charset val="1"/>
      </rPr>
      <t xml:space="preserve">[2]</t>
    </r>
    <r>
      <rPr>
        <sz val="10"/>
        <rFont val="Noto Sans CJK SC"/>
        <family val="2"/>
      </rPr>
      <t xml:space="preserve">의 합만큼 피해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</si>
  <si>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Malgun Gothic"/>
        <family val="0"/>
        <charset val="1"/>
      </rPr>
      <t xml:space="preserve">[2] </t>
    </r>
    <r>
      <rPr>
        <sz val="10"/>
        <rFont val="Noto Sans CJK SC"/>
        <family val="2"/>
      </rPr>
      <t xml:space="preserve">눈의 합</t>
    </r>
  </si>
  <si>
    <t xml:space="preserve">4.2</t>
  </si>
  <si>
    <t xml:space="preserve">⚁ ⚁ ⚁</t>
  </si>
  <si>
    <t xml:space="preserve">thorn_fence</t>
  </si>
  <si>
    <t xml:space="preserve">가시 울타리</t>
  </si>
  <si>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+7</t>
    </r>
  </si>
  <si>
    <t xml:space="preserve">threes</t>
  </si>
  <si>
    <t xml:space="preserve">트레이</t>
  </si>
  <si>
    <t xml:space="preserve">herbs</t>
  </si>
  <si>
    <t xml:space="preserve">약초 한 줌</t>
  </si>
  <si>
    <r>
      <rPr>
        <sz val="10"/>
        <rFont val="Malgun Gothic"/>
        <family val="0"/>
        <charset val="1"/>
      </rPr>
      <t xml:space="preserve">HP 3 </t>
    </r>
    <r>
      <rPr>
        <sz val="10"/>
        <rFont val="Noto Sans CJK SC"/>
        <family val="2"/>
      </rPr>
      <t xml:space="preserve">회복</t>
    </r>
  </si>
  <si>
    <r>
      <rPr>
        <sz val="10"/>
        <rFont val="Noto Sans CJK SC"/>
        <family val="2"/>
      </rPr>
      <t xml:space="preserve">굴린 주사위 중 </t>
    </r>
    <r>
      <rPr>
        <sz val="10"/>
        <rFont val="Malgun Gothic"/>
        <family val="0"/>
        <charset val="1"/>
      </rPr>
      <t xml:space="preserve">[3]</t>
    </r>
    <r>
      <rPr>
        <sz val="10"/>
        <rFont val="Noto Sans CJK SC"/>
        <family val="2"/>
      </rPr>
      <t xml:space="preserve">의 합만큼 피해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</si>
  <si>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Malgun Gothic"/>
        <family val="0"/>
        <charset val="1"/>
      </rPr>
      <t xml:space="preserve">[3] </t>
    </r>
    <r>
      <rPr>
        <sz val="10"/>
        <rFont val="Noto Sans CJK SC"/>
        <family val="2"/>
      </rPr>
      <t xml:space="preserve">눈의 합</t>
    </r>
  </si>
  <si>
    <t xml:space="preserve">6.3†</t>
  </si>
  <si>
    <t xml:space="preserve">⚂ ⚂ ⚂</t>
  </si>
  <si>
    <t xml:space="preserve">berry_jam</t>
  </si>
  <si>
    <t xml:space="preserve">산딸기 잼</t>
  </si>
  <si>
    <r>
      <rPr>
        <sz val="10"/>
        <rFont val="Malgun Gothic"/>
        <family val="0"/>
        <charset val="1"/>
      </rPr>
      <t xml:space="preserve">HP 2 </t>
    </r>
    <r>
      <rPr>
        <sz val="10"/>
        <rFont val="Noto Sans CJK SC"/>
        <family val="2"/>
      </rPr>
      <t xml:space="preserve">회복 </t>
    </r>
    <r>
      <rPr>
        <sz val="10"/>
        <rFont val="Malgun Gothic"/>
        <family val="0"/>
        <charset val="1"/>
      </rPr>
      <t xml:space="preserve">+ </t>
    </r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3</t>
    </r>
  </si>
  <si>
    <t xml:space="preserve">fours</t>
  </si>
  <si>
    <t xml:space="preserve">포스</t>
  </si>
  <si>
    <t xml:space="preserve">oak_shield</t>
  </si>
  <si>
    <t xml:space="preserve">참나무 방패</t>
  </si>
  <si>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+</t>
    </r>
    <r>
      <rPr>
        <sz val="10"/>
        <rFont val="Noto Sans CJK SC"/>
        <family val="2"/>
      </rPr>
      <t xml:space="preserve">점수</t>
    </r>
  </si>
  <si>
    <r>
      <rPr>
        <sz val="10"/>
        <rFont val="Noto Sans CJK SC"/>
        <family val="2"/>
      </rPr>
      <t xml:space="preserve">굴린 주사위 중 </t>
    </r>
    <r>
      <rPr>
        <sz val="10"/>
        <rFont val="Malgun Gothic"/>
        <family val="0"/>
        <charset val="1"/>
      </rPr>
      <t xml:space="preserve">[4]</t>
    </r>
    <r>
      <rPr>
        <sz val="10"/>
        <rFont val="Noto Sans CJK SC"/>
        <family val="2"/>
      </rPr>
      <t xml:space="preserve">의 합만큼 피해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</si>
  <si>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Malgun Gothic"/>
        <family val="0"/>
        <charset val="1"/>
      </rPr>
      <t xml:space="preserve">[4] </t>
    </r>
    <r>
      <rPr>
        <sz val="10"/>
        <rFont val="Noto Sans CJK SC"/>
        <family val="2"/>
      </rPr>
      <t xml:space="preserve">눈의 합</t>
    </r>
  </si>
  <si>
    <t xml:space="preserve">8.4†</t>
  </si>
  <si>
    <t xml:space="preserve">⚃ ⚃ ⚃</t>
  </si>
  <si>
    <t xml:space="preserve">iron_pot</t>
  </si>
  <si>
    <t xml:space="preserve">무쇠 냄비</t>
  </si>
  <si>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+9</t>
    </r>
  </si>
  <si>
    <t xml:space="preserve">fives</t>
  </si>
  <si>
    <t xml:space="preserve">파이브</t>
  </si>
  <si>
    <t xml:space="preserve">powder</t>
  </si>
  <si>
    <t xml:space="preserve">화약 재기</t>
  </si>
  <si>
    <r>
      <rPr>
        <sz val="10"/>
        <rFont val="Noto Sans CJK SC"/>
        <family val="2"/>
      </rPr>
      <t xml:space="preserve">다음 족보 피해 </t>
    </r>
    <r>
      <rPr>
        <sz val="10"/>
        <rFont val="Malgun Gothic"/>
        <family val="0"/>
        <charset val="1"/>
      </rPr>
      <t xml:space="preserve">+5</t>
    </r>
  </si>
  <si>
    <r>
      <rPr>
        <sz val="10"/>
        <rFont val="Noto Sans CJK SC"/>
        <family val="2"/>
      </rPr>
      <t xml:space="preserve">굴린 주사위 중 </t>
    </r>
    <r>
      <rPr>
        <sz val="10"/>
        <rFont val="Malgun Gothic"/>
        <family val="0"/>
        <charset val="1"/>
      </rPr>
      <t xml:space="preserve">[5]</t>
    </r>
    <r>
      <rPr>
        <sz val="10"/>
        <rFont val="Noto Sans CJK SC"/>
        <family val="2"/>
      </rPr>
      <t xml:space="preserve">의 합만큼 피해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</si>
  <si>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Malgun Gothic"/>
        <family val="0"/>
        <charset val="1"/>
      </rPr>
      <t xml:space="preserve">[5] </t>
    </r>
    <r>
      <rPr>
        <sz val="10"/>
        <rFont val="Noto Sans CJK SC"/>
        <family val="2"/>
      </rPr>
      <t xml:space="preserve">눈의 합</t>
    </r>
  </si>
  <si>
    <t xml:space="preserve">10.6†</t>
  </si>
  <si>
    <t xml:space="preserve">⚄ ⚄ ⚄</t>
  </si>
  <si>
    <t xml:space="preserve">five_claws</t>
  </si>
  <si>
    <t xml:space="preserve">다섯 발톱</t>
  </si>
  <si>
    <r>
      <rPr>
        <sz val="10"/>
        <rFont val="Noto Sans CJK SC"/>
        <family val="2"/>
      </rPr>
      <t xml:space="preserve">다음 피해 </t>
    </r>
    <r>
      <rPr>
        <sz val="10"/>
        <rFont val="Malgun Gothic"/>
        <family val="0"/>
        <charset val="1"/>
      </rPr>
      <t xml:space="preserve">+3 + </t>
    </r>
    <r>
      <rPr>
        <sz val="10"/>
        <rFont val="Noto Sans CJK SC"/>
        <family val="2"/>
      </rPr>
      <t xml:space="preserve">다음 턴 리롤 </t>
    </r>
    <r>
      <rPr>
        <sz val="10"/>
        <rFont val="Malgun Gothic"/>
        <family val="0"/>
        <charset val="1"/>
      </rPr>
      <t xml:space="preserve">+1</t>
    </r>
  </si>
  <si>
    <t xml:space="preserve">sixes</t>
  </si>
  <si>
    <t xml:space="preserve">식스</t>
  </si>
  <si>
    <t xml:space="preserve">wolfshot</t>
  </si>
  <si>
    <t xml:space="preserve">늑대 사냥탄</t>
  </si>
  <si>
    <t xml:space="preserve">부가 없음 — 순수 화력</t>
  </si>
  <si>
    <r>
      <rPr>
        <sz val="10"/>
        <rFont val="Noto Sans CJK SC"/>
        <family val="2"/>
      </rPr>
      <t xml:space="preserve">굴린 주사위 중 </t>
    </r>
    <r>
      <rPr>
        <sz val="10"/>
        <rFont val="Malgun Gothic"/>
        <family val="0"/>
        <charset val="1"/>
      </rPr>
      <t xml:space="preserve">[6]</t>
    </r>
    <r>
      <rPr>
        <sz val="10"/>
        <rFont val="Noto Sans CJK SC"/>
        <family val="2"/>
      </rPr>
      <t xml:space="preserve">의 합만큼 피해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</si>
  <si>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Malgun Gothic"/>
        <family val="0"/>
        <charset val="1"/>
      </rPr>
      <t xml:space="preserve">[6] </t>
    </r>
    <r>
      <rPr>
        <sz val="10"/>
        <rFont val="Noto Sans CJK SC"/>
        <family val="2"/>
      </rPr>
      <t xml:space="preserve">눈의 합</t>
    </r>
  </si>
  <si>
    <t xml:space="preserve">12.6</t>
  </si>
  <si>
    <t xml:space="preserve">⚅ ⚅ ⚅</t>
  </si>
  <si>
    <t xml:space="preserve">overload</t>
  </si>
  <si>
    <t xml:space="preserve">화약 과적</t>
  </si>
  <si>
    <r>
      <rPr>
        <sz val="10"/>
        <rFont val="Noto Sans CJK SC"/>
        <family val="2"/>
      </rPr>
      <t xml:space="preserve">다음 족보 피해 </t>
    </r>
    <r>
      <rPr>
        <sz val="10"/>
        <rFont val="Malgun Gothic"/>
        <family val="0"/>
        <charset val="1"/>
      </rPr>
      <t xml:space="preserve">+8</t>
    </r>
  </si>
  <si>
    <t xml:space="preserve">threeKind</t>
  </si>
  <si>
    <t xml:space="preserve">트리플</t>
  </si>
  <si>
    <t xml:space="preserve">triple_axe</t>
  </si>
  <si>
    <t xml:space="preserve">세 번 찍는 도끼</t>
  </si>
  <si>
    <r>
      <rPr>
        <sz val="10"/>
        <rFont val="Noto Sans CJK SC"/>
        <family val="2"/>
      </rPr>
      <t xml:space="preserve">다음 족보 피해 </t>
    </r>
    <r>
      <rPr>
        <sz val="10"/>
        <rFont val="Malgun Gothic"/>
        <family val="0"/>
        <charset val="1"/>
      </rPr>
      <t xml:space="preserve">+6</t>
    </r>
  </si>
  <si>
    <r>
      <rPr>
        <sz val="10"/>
        <rFont val="Noto Sans CJK SC"/>
        <family val="2"/>
      </rPr>
      <t xml:space="preserve">같은 눈 </t>
    </r>
    <r>
      <rPr>
        <sz val="10"/>
        <rFont val="Malgun Gothic"/>
        <family val="0"/>
        <charset val="1"/>
      </rPr>
      <t xml:space="preserve">3</t>
    </r>
    <r>
      <rPr>
        <sz val="10"/>
        <rFont val="Noto Sans CJK SC"/>
        <family val="2"/>
      </rPr>
      <t xml:space="preserve">개 이상이면 성립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 같은 눈들의 합 </t>
    </r>
    <r>
      <rPr>
        <sz val="10"/>
        <rFont val="Malgun Gothic"/>
        <family val="0"/>
        <charset val="1"/>
      </rPr>
      <t xml:space="preserve">×2 </t>
    </r>
    <r>
      <rPr>
        <sz val="10"/>
        <rFont val="Noto Sans CJK SC"/>
        <family val="2"/>
      </rPr>
      <t xml:space="preserve">만큼 피해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</si>
  <si>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같은 눈들의 합 </t>
    </r>
    <r>
      <rPr>
        <sz val="10"/>
        <rFont val="Malgun Gothic"/>
        <family val="0"/>
        <charset val="1"/>
      </rPr>
      <t xml:space="preserve">×2</t>
    </r>
  </si>
  <si>
    <t xml:space="preserve">20.0</t>
  </si>
  <si>
    <r>
      <rPr>
        <sz val="10"/>
        <rFont val="Malgun Gothic"/>
        <family val="0"/>
        <charset val="1"/>
      </rPr>
      <t xml:space="preserve">X</t>
    </r>
    <r>
      <rPr>
        <sz val="10"/>
        <rFont val="Noto Sans CJK SC"/>
        <family val="2"/>
      </rPr>
      <t xml:space="preserve">자 이중 베기</t>
    </r>
  </si>
  <si>
    <t xml:space="preserve">woodsman_breath</t>
  </si>
  <si>
    <t xml:space="preserve">나무꾼의 호흡</t>
  </si>
  <si>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4 + </t>
    </r>
    <r>
      <rPr>
        <sz val="10"/>
        <rFont val="Noto Sans CJK SC"/>
        <family val="2"/>
      </rPr>
      <t xml:space="preserve">다음 턴 리롤 </t>
    </r>
    <r>
      <rPr>
        <sz val="10"/>
        <rFont val="Malgun Gothic"/>
        <family val="0"/>
        <charset val="1"/>
      </rPr>
      <t xml:space="preserve">+1</t>
    </r>
  </si>
  <si>
    <t xml:space="preserve">fourKind</t>
  </si>
  <si>
    <t xml:space="preserve">포카드</t>
  </si>
  <si>
    <t xml:space="preserve">four_fangs</t>
  </si>
  <si>
    <t xml:space="preserve">네 개의 송곳니</t>
  </si>
  <si>
    <t xml:space="preserve">피해 준 적의 다음 행동 취소</t>
  </si>
  <si>
    <t xml:space="preserve">rare</t>
  </si>
  <si>
    <r>
      <rPr>
        <sz val="10"/>
        <rFont val="Noto Sans CJK SC"/>
        <family val="2"/>
      </rPr>
      <t xml:space="preserve">같은 눈 </t>
    </r>
    <r>
      <rPr>
        <sz val="10"/>
        <rFont val="Malgun Gothic"/>
        <family val="0"/>
        <charset val="1"/>
      </rPr>
      <t xml:space="preserve">4</t>
    </r>
    <r>
      <rPr>
        <sz val="10"/>
        <rFont val="Noto Sans CJK SC"/>
        <family val="2"/>
      </rPr>
      <t xml:space="preserve">개 이상이면 성립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 같은 눈들의 합 </t>
    </r>
    <r>
      <rPr>
        <sz val="10"/>
        <rFont val="Malgun Gothic"/>
        <family val="0"/>
        <charset val="1"/>
      </rPr>
      <t xml:space="preserve">×2 </t>
    </r>
    <r>
      <rPr>
        <sz val="10"/>
        <rFont val="Noto Sans CJK SC"/>
        <family val="2"/>
      </rPr>
      <t xml:space="preserve">만큼 피해</t>
    </r>
    <r>
      <rPr>
        <sz val="10"/>
        <rFont val="Malgun Gothic"/>
        <family val="0"/>
        <charset val="1"/>
      </rPr>
      <t xml:space="preserve">.</t>
    </r>
  </si>
  <si>
    <t xml:space="preserve">9.1</t>
  </si>
  <si>
    <r>
      <rPr>
        <sz val="10"/>
        <rFont val="Noto Sans CJK SC"/>
        <family val="2"/>
      </rPr>
      <t xml:space="preserve">충격파</t>
    </r>
    <r>
      <rPr>
        <sz val="10"/>
        <rFont val="Malgun Gothic"/>
        <family val="0"/>
        <charset val="1"/>
      </rPr>
      <t xml:space="preserve">+</t>
    </r>
    <r>
      <rPr>
        <sz val="10"/>
        <rFont val="Noto Sans CJK SC"/>
        <family val="2"/>
      </rPr>
      <t xml:space="preserve">베기</t>
    </r>
  </si>
  <si>
    <t xml:space="preserve">⚃ ⚃ ⚃ ⚃</t>
  </si>
  <si>
    <t xml:space="preserve">heavy_blow</t>
  </si>
  <si>
    <t xml:space="preserve">묵직한 일격</t>
  </si>
  <si>
    <r>
      <rPr>
        <sz val="10"/>
        <rFont val="Noto Sans CJK SC"/>
        <family val="2"/>
      </rPr>
      <t xml:space="preserve">다음 족보 피해 </t>
    </r>
    <r>
      <rPr>
        <sz val="10"/>
        <rFont val="Malgun Gothic"/>
        <family val="0"/>
        <charset val="1"/>
      </rPr>
      <t xml:space="preserve">+12</t>
    </r>
  </si>
  <si>
    <t xml:space="preserve">fullHouse</t>
  </si>
  <si>
    <t xml:space="preserve">풀하우스</t>
  </si>
  <si>
    <t xml:space="preserve">cottage</t>
  </si>
  <si>
    <t xml:space="preserve">할머니의 오두막</t>
  </si>
  <si>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+15</t>
    </r>
  </si>
  <si>
    <r>
      <rPr>
        <sz val="10"/>
        <rFont val="Noto Sans CJK SC"/>
        <family val="2"/>
      </rPr>
      <t xml:space="preserve">같은 눈 </t>
    </r>
    <r>
      <rPr>
        <sz val="10"/>
        <rFont val="Malgun Gothic"/>
        <family val="0"/>
        <charset val="1"/>
      </rPr>
      <t xml:space="preserve">3</t>
    </r>
    <r>
      <rPr>
        <sz val="10"/>
        <rFont val="Noto Sans CJK SC"/>
        <family val="2"/>
      </rPr>
      <t xml:space="preserve">개 </t>
    </r>
    <r>
      <rPr>
        <sz val="10"/>
        <rFont val="Malgun Gothic"/>
        <family val="0"/>
        <charset val="1"/>
      </rPr>
      <t xml:space="preserve">+ </t>
    </r>
    <r>
      <rPr>
        <sz val="10"/>
        <rFont val="Noto Sans CJK SC"/>
        <family val="2"/>
      </rPr>
      <t xml:space="preserve">다른 같은 눈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개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예</t>
    </r>
    <r>
      <rPr>
        <sz val="10"/>
        <rFont val="Malgun Gothic"/>
        <family val="0"/>
        <charset val="1"/>
      </rPr>
      <t xml:space="preserve">: 5·5·5·2·2)</t>
    </r>
    <r>
      <rPr>
        <sz val="10"/>
        <rFont val="Noto Sans CJK SC"/>
        <family val="2"/>
      </rPr>
      <t xml:space="preserve">면 성립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피해 </t>
    </r>
    <r>
      <rPr>
        <sz val="10"/>
        <rFont val="Malgun Gothic"/>
        <family val="0"/>
        <charset val="1"/>
      </rPr>
      <t xml:space="preserve">25.</t>
    </r>
  </si>
  <si>
    <t xml:space="preserve">25</t>
  </si>
  <si>
    <t xml:space="preserve">9.0</t>
  </si>
  <si>
    <t xml:space="preserve">금빛 파문</t>
  </si>
  <si>
    <t xml:space="preserve">⚄ ⚄ ⚄ ⚁ ⚁</t>
  </si>
  <si>
    <t xml:space="preserve">hearth</t>
  </si>
  <si>
    <t xml:space="preserve">따뜻한 화덕</t>
  </si>
  <si>
    <r>
      <rPr>
        <sz val="10"/>
        <rFont val="Malgun Gothic"/>
        <family val="0"/>
        <charset val="1"/>
      </rPr>
      <t xml:space="preserve">HP 6 </t>
    </r>
    <r>
      <rPr>
        <sz val="10"/>
        <rFont val="Noto Sans CJK SC"/>
        <family val="2"/>
      </rPr>
      <t xml:space="preserve">회복 </t>
    </r>
    <r>
      <rPr>
        <sz val="10"/>
        <rFont val="Malgun Gothic"/>
        <family val="0"/>
        <charset val="1"/>
      </rPr>
      <t xml:space="preserve">+ </t>
    </r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6</t>
    </r>
  </si>
  <si>
    <t xml:space="preserve">smallStraight</t>
  </si>
  <si>
    <t xml:space="preserve">스몰 스트레이트</t>
  </si>
  <si>
    <t xml:space="preserve">windpath</t>
  </si>
  <si>
    <t xml:space="preserve">바람길</t>
  </si>
  <si>
    <t xml:space="preserve">이번 적 공격 회피</t>
  </si>
  <si>
    <r>
      <rPr>
        <sz val="10"/>
        <rFont val="Noto Sans CJK SC"/>
        <family val="2"/>
      </rPr>
      <t xml:space="preserve">연속된 눈 </t>
    </r>
    <r>
      <rPr>
        <sz val="10"/>
        <rFont val="Malgun Gothic"/>
        <family val="0"/>
        <charset val="1"/>
      </rPr>
      <t xml:space="preserve">4</t>
    </r>
    <r>
      <rPr>
        <sz val="10"/>
        <rFont val="Noto Sans CJK SC"/>
        <family val="2"/>
      </rPr>
      <t xml:space="preserve">개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예</t>
    </r>
    <r>
      <rPr>
        <sz val="10"/>
        <rFont val="Malgun Gothic"/>
        <family val="0"/>
        <charset val="1"/>
      </rPr>
      <t xml:space="preserve">: 2·3·4·5)</t>
    </r>
    <r>
      <rPr>
        <sz val="10"/>
        <rFont val="Noto Sans CJK SC"/>
        <family val="2"/>
      </rPr>
      <t xml:space="preserve">면 성립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모든 적에게 피해 </t>
    </r>
    <r>
      <rPr>
        <sz val="10"/>
        <rFont val="Malgun Gothic"/>
        <family val="0"/>
        <charset val="1"/>
      </rPr>
      <t xml:space="preserve">30.</t>
    </r>
  </si>
  <si>
    <t xml:space="preserve">30</t>
  </si>
  <si>
    <t xml:space="preserve">전체</t>
  </si>
  <si>
    <t xml:space="preserve">13.2</t>
  </si>
  <si>
    <r>
      <rPr>
        <sz val="10"/>
        <rFont val="Noto Sans CJK SC"/>
        <family val="2"/>
      </rPr>
      <t xml:space="preserve">빛의 파도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전체</t>
    </r>
    <r>
      <rPr>
        <sz val="10"/>
        <rFont val="Malgun Gothic"/>
        <family val="0"/>
        <charset val="1"/>
      </rPr>
      <t xml:space="preserve">)</t>
    </r>
  </si>
  <si>
    <t xml:space="preserve">⚁ ⚂ ⚃ ⚄</t>
  </si>
  <si>
    <t xml:space="preserve">hunt_drive</t>
  </si>
  <si>
    <t xml:space="preserve">몰이사냥</t>
  </si>
  <si>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+10</t>
    </r>
  </si>
  <si>
    <t xml:space="preserve">largeStraight</t>
  </si>
  <si>
    <t xml:space="preserve">라지 스트레이트</t>
  </si>
  <si>
    <t xml:space="preserve">moonpath</t>
  </si>
  <si>
    <t xml:space="preserve">달빛 오솔길</t>
  </si>
  <si>
    <r>
      <rPr>
        <sz val="10"/>
        <rFont val="Noto Sans CJK SC"/>
        <family val="2"/>
      </rPr>
      <t xml:space="preserve">회피 </t>
    </r>
    <r>
      <rPr>
        <sz val="10"/>
        <rFont val="Malgun Gothic"/>
        <family val="0"/>
        <charset val="1"/>
      </rPr>
      <t xml:space="preserve">+ </t>
    </r>
    <r>
      <rPr>
        <sz val="10"/>
        <rFont val="Noto Sans CJK SC"/>
        <family val="2"/>
      </rPr>
      <t xml:space="preserve">다음 턴 리롤 </t>
    </r>
    <r>
      <rPr>
        <sz val="10"/>
        <rFont val="Malgun Gothic"/>
        <family val="0"/>
        <charset val="1"/>
      </rPr>
      <t xml:space="preserve">+1</t>
    </r>
  </si>
  <si>
    <r>
      <rPr>
        <sz val="10"/>
        <rFont val="Noto Sans CJK SC"/>
        <family val="2"/>
      </rPr>
      <t xml:space="preserve">연속된 눈 </t>
    </r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개</t>
    </r>
    <r>
      <rPr>
        <sz val="10"/>
        <rFont val="Malgun Gothic"/>
        <family val="0"/>
        <charset val="1"/>
      </rPr>
      <t xml:space="preserve">(1~5 </t>
    </r>
    <r>
      <rPr>
        <sz val="10"/>
        <rFont val="Noto Sans CJK SC"/>
        <family val="2"/>
      </rPr>
      <t xml:space="preserve">또는 </t>
    </r>
    <r>
      <rPr>
        <sz val="10"/>
        <rFont val="Malgun Gothic"/>
        <family val="0"/>
        <charset val="1"/>
      </rPr>
      <t xml:space="preserve">2~6)</t>
    </r>
    <r>
      <rPr>
        <sz val="10"/>
        <rFont val="Noto Sans CJK SC"/>
        <family val="2"/>
      </rPr>
      <t xml:space="preserve">면 성립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모든 적에게 피해 </t>
    </r>
    <r>
      <rPr>
        <sz val="10"/>
        <rFont val="Malgun Gothic"/>
        <family val="0"/>
        <charset val="1"/>
      </rPr>
      <t xml:space="preserve">40.</t>
    </r>
  </si>
  <si>
    <t xml:space="preserve">40</t>
  </si>
  <si>
    <t xml:space="preserve">7.0</t>
  </si>
  <si>
    <r>
      <rPr>
        <sz val="10"/>
        <rFont val="Noto Sans CJK SC"/>
        <family val="2"/>
      </rPr>
      <t xml:space="preserve">교차 파도</t>
    </r>
    <r>
      <rPr>
        <sz val="10"/>
        <rFont val="Malgun Gothic"/>
        <family val="0"/>
        <charset val="1"/>
      </rPr>
      <t xml:space="preserve">+</t>
    </r>
    <r>
      <rPr>
        <sz val="10"/>
        <rFont val="Noto Sans CJK SC"/>
        <family val="2"/>
      </rPr>
      <t xml:space="preserve">섬광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전체</t>
    </r>
    <r>
      <rPr>
        <sz val="10"/>
        <rFont val="Malgun Gothic"/>
        <family val="0"/>
        <charset val="1"/>
      </rPr>
      <t xml:space="preserve">)</t>
    </r>
  </si>
  <si>
    <t xml:space="preserve">⚁ ⚂ ⚃ ⚄ ⚅</t>
  </si>
  <si>
    <t xml:space="preserve">storm_run</t>
  </si>
  <si>
    <t xml:space="preserve">폭풍 질주</t>
  </si>
  <si>
    <r>
      <rPr>
        <sz val="10"/>
        <rFont val="Noto Sans CJK SC"/>
        <family val="2"/>
      </rPr>
      <t xml:space="preserve">회피 </t>
    </r>
    <r>
      <rPr>
        <sz val="10"/>
        <rFont val="Malgun Gothic"/>
        <family val="0"/>
        <charset val="1"/>
      </rPr>
      <t xml:space="preserve">+ </t>
    </r>
    <r>
      <rPr>
        <sz val="10"/>
        <rFont val="Noto Sans CJK SC"/>
        <family val="2"/>
      </rPr>
      <t xml:space="preserve">다음 피해 </t>
    </r>
    <r>
      <rPr>
        <sz val="10"/>
        <rFont val="Malgun Gothic"/>
        <family val="0"/>
        <charset val="1"/>
      </rPr>
      <t xml:space="preserve">+8</t>
    </r>
  </si>
  <si>
    <t xml:space="preserve">epic</t>
  </si>
  <si>
    <t xml:space="preserve">yahtzee</t>
  </si>
  <si>
    <t xml:space="preserve">야찌</t>
  </si>
  <si>
    <t xml:space="preserve">judgment_night</t>
  </si>
  <si>
    <t xml:space="preserve">심판의 밤</t>
  </si>
  <si>
    <r>
      <rPr>
        <sz val="10"/>
        <rFont val="Noto Sans CJK SC"/>
        <family val="2"/>
      </rPr>
      <t xml:space="preserve">적 행동 취소 </t>
    </r>
    <r>
      <rPr>
        <sz val="10"/>
        <rFont val="Malgun Gothic"/>
        <family val="0"/>
        <charset val="1"/>
      </rPr>
      <t xml:space="preserve">+ </t>
    </r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20</t>
    </r>
  </si>
  <si>
    <r>
      <rPr>
        <sz val="10"/>
        <rFont val="Noto Sans CJK SC"/>
        <family val="2"/>
      </rPr>
      <t xml:space="preserve">주사위 </t>
    </r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개가 모두 같은 눈이면 성립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피해 </t>
    </r>
    <r>
      <rPr>
        <sz val="10"/>
        <rFont val="Malgun Gothic"/>
        <family val="0"/>
        <charset val="1"/>
      </rPr>
      <t xml:space="preserve">50.</t>
    </r>
  </si>
  <si>
    <t xml:space="preserve">50</t>
  </si>
  <si>
    <t xml:space="preserve">2.3</t>
  </si>
  <si>
    <r>
      <rPr>
        <sz val="10"/>
        <rFont val="Noto Sans CJK SC"/>
        <family val="2"/>
      </rPr>
      <t xml:space="preserve">심판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섬광</t>
    </r>
    <r>
      <rPr>
        <sz val="10"/>
        <rFont val="Malgun Gothic"/>
        <family val="0"/>
        <charset val="1"/>
      </rPr>
      <t xml:space="preserve">+</t>
    </r>
    <r>
      <rPr>
        <sz val="10"/>
        <rFont val="Noto Sans CJK SC"/>
        <family val="2"/>
      </rPr>
      <t xml:space="preserve">이중 파문</t>
    </r>
    <r>
      <rPr>
        <sz val="10"/>
        <rFont val="Malgun Gothic"/>
        <family val="0"/>
        <charset val="1"/>
      </rPr>
      <t xml:space="preserve">)</t>
    </r>
  </si>
  <si>
    <t xml:space="preserve">⚅ ⚅ ⚅ ⚅ ⚅</t>
  </si>
  <si>
    <t xml:space="preserve">blood_moon</t>
  </si>
  <si>
    <t xml:space="preserve">핏빛 만월</t>
  </si>
  <si>
    <r>
      <rPr>
        <sz val="10"/>
        <rFont val="Noto Sans CJK SC"/>
        <family val="2"/>
      </rPr>
      <t xml:space="preserve">적 행동 취소 </t>
    </r>
    <r>
      <rPr>
        <sz val="10"/>
        <rFont val="Malgun Gothic"/>
        <family val="0"/>
        <charset val="1"/>
      </rPr>
      <t xml:space="preserve">+ </t>
    </r>
    <r>
      <rPr>
        <sz val="10"/>
        <rFont val="Noto Sans CJK SC"/>
        <family val="2"/>
      </rPr>
      <t xml:space="preserve">다음 피해 </t>
    </r>
    <r>
      <rPr>
        <sz val="10"/>
        <rFont val="Malgun Gothic"/>
        <family val="0"/>
        <charset val="1"/>
      </rPr>
      <t xml:space="preserve">+15</t>
    </r>
  </si>
  <si>
    <t xml:space="preserve">id</t>
  </si>
  <si>
    <t xml:space="preserve">이름</t>
  </si>
  <si>
    <t xml:space="preserve">면 구성</t>
  </si>
  <si>
    <t xml:space="preserve">효과 유형</t>
  </si>
  <si>
    <t xml:space="preserve">효과</t>
  </si>
  <si>
    <t xml:space="preserve">등급</t>
  </si>
  <si>
    <t xml:space="preserve">설명</t>
  </si>
  <si>
    <t xml:space="preserve">normal</t>
  </si>
  <si>
    <t xml:space="preserve">나무 주사위</t>
  </si>
  <si>
    <t xml:space="preserve">1 · 2 · 3 · 4 · 5 · 6</t>
  </si>
  <si>
    <t xml:space="preserve">—</t>
  </si>
  <si>
    <r>
      <rPr>
        <sz val="10"/>
        <rFont val="Noto Sans CJK SC"/>
        <family val="2"/>
      </rPr>
      <t xml:space="preserve">평범한 주사위</t>
    </r>
    <r>
      <rPr>
        <sz val="10"/>
        <rFont val="Malgun Gothic"/>
        <family val="0"/>
        <charset val="1"/>
      </rPr>
      <t xml:space="preserve">.</t>
    </r>
  </si>
  <si>
    <t xml:space="preserve">lead</t>
  </si>
  <si>
    <t xml:space="preserve">납 주사위</t>
  </si>
  <si>
    <t xml:space="preserve">1 · 2 · 3 · 4 · 6 · 6</t>
  </si>
  <si>
    <t xml:space="preserve">① 눈금형</t>
  </si>
  <si>
    <r>
      <rPr>
        <sz val="10"/>
        <rFont val="Malgun Gothic"/>
        <family val="0"/>
        <charset val="1"/>
      </rPr>
      <t xml:space="preserve">5 </t>
    </r>
    <r>
      <rPr>
        <sz val="10"/>
        <rFont val="Noto Sans CJK SC"/>
        <family val="2"/>
      </rPr>
      <t xml:space="preserve">대신 </t>
    </r>
    <r>
      <rPr>
        <sz val="10"/>
        <rFont val="Malgun Gothic"/>
        <family val="0"/>
        <charset val="1"/>
      </rPr>
      <t xml:space="preserve">6</t>
    </r>
    <r>
      <rPr>
        <sz val="10"/>
        <rFont val="Noto Sans CJK SC"/>
        <family val="2"/>
      </rPr>
      <t xml:space="preserve">이 하나 더</t>
    </r>
    <r>
      <rPr>
        <sz val="10"/>
        <rFont val="Malgun Gothic"/>
        <family val="0"/>
        <charset val="1"/>
      </rPr>
      <t xml:space="preserve">. 6</t>
    </r>
    <r>
      <rPr>
        <sz val="10"/>
        <rFont val="Noto Sans CJK SC"/>
        <family val="2"/>
      </rPr>
      <t xml:space="preserve">이 잘 나온다</t>
    </r>
    <r>
      <rPr>
        <sz val="10"/>
        <rFont val="Malgun Gothic"/>
        <family val="0"/>
        <charset val="1"/>
      </rPr>
      <t xml:space="preserve">.</t>
    </r>
  </si>
  <si>
    <t xml:space="preserve">even</t>
  </si>
  <si>
    <t xml:space="preserve">짝눈 주사위</t>
  </si>
  <si>
    <t xml:space="preserve">2 · 2 · 4 · 4 · 6 · 6</t>
  </si>
  <si>
    <r>
      <rPr>
        <sz val="10"/>
        <rFont val="Noto Sans CJK SC"/>
        <family val="2"/>
      </rPr>
      <t xml:space="preserve">짝수만 나온다</t>
    </r>
    <r>
      <rPr>
        <sz val="10"/>
        <rFont val="Malgun Gothic"/>
        <family val="0"/>
        <charset val="1"/>
      </rPr>
      <t xml:space="preserve">.</t>
    </r>
  </si>
  <si>
    <t xml:space="preserve">odd</t>
  </si>
  <si>
    <t xml:space="preserve">홀눈 주사위</t>
  </si>
  <si>
    <t xml:space="preserve">1 · 1 · 3 · 3 · 5 · 5</t>
  </si>
  <si>
    <r>
      <rPr>
        <sz val="10"/>
        <rFont val="Noto Sans CJK SC"/>
        <family val="2"/>
      </rPr>
      <t xml:space="preserve">홀수만 나온다</t>
    </r>
    <r>
      <rPr>
        <sz val="10"/>
        <rFont val="Malgun Gothic"/>
        <family val="0"/>
        <charset val="1"/>
      </rPr>
      <t xml:space="preserve">.</t>
    </r>
  </si>
  <si>
    <t xml:space="preserve">high</t>
  </si>
  <si>
    <t xml:space="preserve">높은 주사위</t>
  </si>
  <si>
    <t xml:space="preserve">3 · 4 · 4 · 5 · 5 · 6</t>
  </si>
  <si>
    <r>
      <rPr>
        <sz val="10"/>
        <rFont val="Noto Sans CJK SC"/>
        <family val="2"/>
      </rPr>
      <t xml:space="preserve">낮은 눈이 없다</t>
    </r>
    <r>
      <rPr>
        <sz val="10"/>
        <rFont val="Malgun Gothic"/>
        <family val="0"/>
        <charset val="1"/>
      </rPr>
      <t xml:space="preserve">.</t>
    </r>
  </si>
  <si>
    <t xml:space="preserve">ace</t>
  </si>
  <si>
    <t xml:space="preserve">외눈 주사위</t>
  </si>
  <si>
    <t xml:space="preserve">1 · 1 · 1 · 1 · 1 · 6</t>
  </si>
  <si>
    <r>
      <rPr>
        <sz val="10"/>
        <rFont val="Noto Sans CJK SC"/>
        <family val="2"/>
      </rPr>
      <t xml:space="preserve">거의 항상 </t>
    </r>
    <r>
      <rPr>
        <sz val="10"/>
        <rFont val="Malgun Gothic"/>
        <family val="0"/>
        <charset val="1"/>
      </rPr>
      <t xml:space="preserve">1. </t>
    </r>
    <r>
      <rPr>
        <sz val="10"/>
        <rFont val="Noto Sans CJK SC"/>
        <family val="2"/>
      </rPr>
      <t xml:space="preserve">에이스 빌드의 심장</t>
    </r>
    <r>
      <rPr>
        <sz val="10"/>
        <rFont val="Malgun Gothic"/>
        <family val="0"/>
        <charset val="1"/>
      </rPr>
      <t xml:space="preserve">.</t>
    </r>
  </si>
  <si>
    <t xml:space="preserve">gold</t>
  </si>
  <si>
    <t xml:space="preserve">금박 주사위</t>
  </si>
  <si>
    <t xml:space="preserve">② 기여 시</t>
  </si>
  <si>
    <t xml:space="preserve">자기 눈만큼 추가 피해</t>
  </si>
  <si>
    <r>
      <rPr>
        <sz val="10"/>
        <rFont val="Noto Sans CJK SC"/>
        <family val="2"/>
      </rPr>
      <t xml:space="preserve">족보에 기여하면 자기 눈만큼 추가 피해</t>
    </r>
    <r>
      <rPr>
        <sz val="10"/>
        <rFont val="Malgun Gothic"/>
        <family val="0"/>
        <charset val="1"/>
      </rPr>
      <t xml:space="preserve">.</t>
    </r>
  </si>
  <si>
    <t xml:space="preserve">cursed</t>
  </si>
  <si>
    <t xml:space="preserve">저주 주사위</t>
  </si>
  <si>
    <t xml:space="preserve">1 · 1 · 6 · 6 · 6 · 6</t>
  </si>
  <si>
    <r>
      <rPr>
        <sz val="10"/>
        <rFont val="Noto Sans CJK SC"/>
        <family val="2"/>
      </rPr>
      <t xml:space="preserve">자신에게 피해 </t>
    </r>
    <r>
      <rPr>
        <sz val="10"/>
        <rFont val="Malgun Gothic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</si>
  <si>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탐스러운 눈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족보에 기여하면 나도 </t>
    </r>
    <r>
      <rPr>
        <sz val="10"/>
        <rFont val="Malgun Gothic"/>
        <family val="0"/>
        <charset val="1"/>
      </rPr>
      <t xml:space="preserve">3 </t>
    </r>
    <r>
      <rPr>
        <sz val="10"/>
        <rFont val="Noto Sans CJK SC"/>
        <family val="2"/>
      </rPr>
      <t xml:space="preserve">피해를 받는다</t>
    </r>
    <r>
      <rPr>
        <sz val="10"/>
        <rFont val="Malgun Gothic"/>
        <family val="0"/>
        <charset val="1"/>
      </rPr>
      <t xml:space="preserve">.</t>
    </r>
  </si>
  <si>
    <t xml:space="preserve">fang</t>
  </si>
  <si>
    <t xml:space="preserve">송곳니 주사위</t>
  </si>
  <si>
    <r>
      <rPr>
        <sz val="10"/>
        <rFont val="Malgun Gothic"/>
        <family val="0"/>
        <charset val="1"/>
      </rPr>
      <t xml:space="preserve">HP </t>
    </r>
    <r>
      <rPr>
        <sz val="10"/>
        <rFont val="Noto Sans CJK SC"/>
        <family val="2"/>
      </rPr>
      <t xml:space="preserve">회복 </t>
    </r>
    <r>
      <rPr>
        <sz val="10"/>
        <rFont val="Malgun Gothic"/>
        <family val="0"/>
        <charset val="1"/>
      </rPr>
      <t xml:space="preserve">2</t>
    </r>
  </si>
  <si>
    <r>
      <rPr>
        <sz val="10"/>
        <rFont val="Noto Sans CJK SC"/>
        <family val="2"/>
      </rPr>
      <t xml:space="preserve">족보에 기여하면 피를 마셔 </t>
    </r>
    <r>
      <rPr>
        <sz val="10"/>
        <rFont val="Malgun Gothic"/>
        <family val="0"/>
        <charset val="1"/>
      </rPr>
      <t xml:space="preserve">HP 2 </t>
    </r>
    <r>
      <rPr>
        <sz val="10"/>
        <rFont val="Noto Sans CJK SC"/>
        <family val="2"/>
      </rPr>
      <t xml:space="preserve">회복</t>
    </r>
    <r>
      <rPr>
        <sz val="10"/>
        <rFont val="Malgun Gothic"/>
        <family val="0"/>
        <charset val="1"/>
      </rPr>
      <t xml:space="preserve">.</t>
    </r>
  </si>
  <si>
    <t xml:space="preserve">straw</t>
  </si>
  <si>
    <t xml:space="preserve">밀짚 주사위</t>
  </si>
  <si>
    <t xml:space="preserve">1 · 1 · 2 · 2 · 3 · 3</t>
  </si>
  <si>
    <r>
      <rPr>
        <sz val="10"/>
        <rFont val="Noto Sans CJK SC"/>
        <family val="2"/>
      </rPr>
      <t xml:space="preserve">③ 확정 시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기여 무관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</si>
  <si>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</si>
  <si>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눈은 낮지만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기여하지 않아도 족보를 확정할 때마다 방어 </t>
    </r>
    <r>
      <rPr>
        <sz val="10"/>
        <rFont val="Malgun Gothic"/>
        <family val="0"/>
        <charset val="1"/>
      </rPr>
      <t xml:space="preserve">3.</t>
    </r>
  </si>
  <si>
    <t xml:space="preserve">ember</t>
  </si>
  <si>
    <t xml:space="preserve">잿불 주사위</t>
  </si>
  <si>
    <t xml:space="preserve">2 · 2 · 3 · 3 · 4 · 4</t>
  </si>
  <si>
    <r>
      <rPr>
        <sz val="10"/>
        <rFont val="Malgun Gothic"/>
        <family val="0"/>
        <charset val="1"/>
      </rPr>
      <t xml:space="preserve">HP </t>
    </r>
    <r>
      <rPr>
        <sz val="10"/>
        <rFont val="Noto Sans CJK SC"/>
        <family val="2"/>
      </rPr>
      <t xml:space="preserve">회복 </t>
    </r>
    <r>
      <rPr>
        <sz val="10"/>
        <rFont val="Malgun Gothic"/>
        <family val="0"/>
        <charset val="1"/>
      </rPr>
      <t xml:space="preserve">1</t>
    </r>
  </si>
  <si>
    <r>
      <rPr>
        <sz val="10"/>
        <rFont val="Noto Sans CJK SC"/>
        <family val="2"/>
      </rPr>
      <t xml:space="preserve">족보를 확정할 때마다 온기가 스민다 — </t>
    </r>
    <r>
      <rPr>
        <sz val="10"/>
        <rFont val="Malgun Gothic"/>
        <family val="0"/>
        <charset val="1"/>
      </rPr>
      <t xml:space="preserve">HP 1 </t>
    </r>
    <r>
      <rPr>
        <sz val="10"/>
        <rFont val="Noto Sans CJK SC"/>
        <family val="2"/>
      </rPr>
      <t xml:space="preserve">회복</t>
    </r>
    <r>
      <rPr>
        <sz val="10"/>
        <rFont val="Malgun Gothic"/>
        <family val="0"/>
        <charset val="1"/>
      </rPr>
      <t xml:space="preserve">.</t>
    </r>
  </si>
  <si>
    <t xml:space="preserve">moonlit</t>
  </si>
  <si>
    <t xml:space="preserve">달빛 주사위</t>
  </si>
  <si>
    <t xml:space="preserve">1 · 1 · 2 · 3 · 4 · 5</t>
  </si>
  <si>
    <t xml:space="preserve">④ 패시브</t>
  </si>
  <si>
    <r>
      <rPr>
        <sz val="10"/>
        <rFont val="Noto Sans CJK SC"/>
        <family val="2"/>
      </rPr>
      <t xml:space="preserve">리롤 추가 </t>
    </r>
    <r>
      <rPr>
        <sz val="10"/>
        <rFont val="Malgun Gothic"/>
        <family val="0"/>
        <charset val="1"/>
      </rPr>
      <t xml:space="preserve">1</t>
    </r>
  </si>
  <si>
    <r>
      <rPr>
        <sz val="10"/>
        <rFont val="Noto Sans CJK SC"/>
        <family val="2"/>
      </rPr>
      <t xml:space="preserve">눈은 흐릿하지만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달빛이 손을 이끈다 — 매 턴 리롤 </t>
    </r>
    <r>
      <rPr>
        <sz val="10"/>
        <rFont val="Malgun Gothic"/>
        <family val="0"/>
        <charset val="1"/>
      </rPr>
      <t xml:space="preserve">+1.</t>
    </r>
  </si>
  <si>
    <t xml:space="preserve">bramble</t>
  </si>
  <si>
    <t xml:space="preserve">가시덤불 주사위</t>
  </si>
  <si>
    <t xml:space="preserve">1 · 2 · 2 · 3 · 3 · 4</t>
  </si>
  <si>
    <r>
      <rPr>
        <sz val="10"/>
        <rFont val="Noto Sans CJK SC"/>
        <family val="2"/>
      </rPr>
      <t xml:space="preserve">턴 시작 방어 </t>
    </r>
    <r>
      <rPr>
        <sz val="10"/>
        <rFont val="Malgun Gothic"/>
        <family val="0"/>
        <charset val="1"/>
      </rPr>
      <t xml:space="preserve">2</t>
    </r>
  </si>
  <si>
    <r>
      <rPr>
        <sz val="10"/>
        <rFont val="Noto Sans CJK SC"/>
        <family val="2"/>
      </rPr>
      <t xml:space="preserve">품고만 있어도 가시가 돋는다 — 매 턴 시작 시 방어 </t>
    </r>
    <r>
      <rPr>
        <sz val="10"/>
        <rFont val="Malgun Gothic"/>
        <family val="0"/>
        <charset val="1"/>
      </rPr>
      <t xml:space="preserve">2.</t>
    </r>
  </si>
  <si>
    <r>
      <rPr>
        <b val="true"/>
        <sz val="10"/>
        <color rgb="FFF5EBD8"/>
        <rFont val="Noto Sans CJK SC"/>
        <family val="2"/>
      </rPr>
      <t xml:space="preserve">훅</t>
    </r>
    <r>
      <rPr>
        <b val="true"/>
        <sz val="10"/>
        <color rgb="FFF5EBD8"/>
        <rFont val="Malgun Gothic"/>
        <family val="0"/>
        <charset val="1"/>
      </rPr>
      <t xml:space="preserve">(</t>
    </r>
    <r>
      <rPr>
        <b val="true"/>
        <sz val="10"/>
        <color rgb="FFF5EBD8"/>
        <rFont val="Noto Sans CJK SC"/>
        <family val="2"/>
      </rPr>
      <t xml:space="preserve">엔진</t>
    </r>
    <r>
      <rPr>
        <b val="true"/>
        <sz val="10"/>
        <color rgb="FFF5EBD8"/>
        <rFont val="Malgun Gothic"/>
        <family val="0"/>
        <charset val="1"/>
      </rPr>
      <t xml:space="preserve">)</t>
    </r>
  </si>
  <si>
    <t xml:space="preserve">파라미터</t>
  </si>
  <si>
    <t xml:space="preserve">silver_bullet</t>
  </si>
  <si>
    <t xml:space="preserve">🔫 은탄환</t>
  </si>
  <si>
    <r>
      <rPr>
        <sz val="10"/>
        <rFont val="Noto Sans CJK SC"/>
        <family val="2"/>
      </rPr>
      <t xml:space="preserve">에이스 족보 점수 </t>
    </r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배</t>
    </r>
    <r>
      <rPr>
        <sz val="10"/>
        <rFont val="Malgun Gothic"/>
        <family val="0"/>
        <charset val="1"/>
      </rPr>
      <t xml:space="preserve">.</t>
    </r>
  </si>
  <si>
    <t xml:space="preserve">categoryMult</t>
  </si>
  <si>
    <t xml:space="preserve">category=ones, mult=5</t>
  </si>
  <si>
    <t xml:space="preserve">red_cloak</t>
  </si>
  <si>
    <t xml:space="preserve">🧣 붉은 망토</t>
  </si>
  <si>
    <r>
      <rPr>
        <sz val="10"/>
        <rFont val="Noto Sans CJK SC"/>
        <family val="2"/>
      </rPr>
      <t xml:space="preserve">매 턴 리롤 </t>
    </r>
    <r>
      <rPr>
        <sz val="10"/>
        <rFont val="Malgun Gothic"/>
        <family val="0"/>
        <charset val="1"/>
      </rPr>
      <t xml:space="preserve">+1.</t>
    </r>
  </si>
  <si>
    <t xml:space="preserve">extraReroll</t>
  </si>
  <si>
    <t xml:space="preserve">amount=1</t>
  </si>
  <si>
    <t xml:space="preserve">hunters_charm</t>
  </si>
  <si>
    <t xml:space="preserve">🪬 사냥꾼의 부적</t>
  </si>
  <si>
    <r>
      <rPr>
        <sz val="10"/>
        <rFont val="Noto Sans CJK SC"/>
        <family val="2"/>
      </rPr>
      <t xml:space="preserve">풀하우스 점수 </t>
    </r>
    <r>
      <rPr>
        <sz val="10"/>
        <rFont val="Malgun Gothic"/>
        <family val="0"/>
        <charset val="1"/>
      </rPr>
      <t xml:space="preserve">+15.</t>
    </r>
  </si>
  <si>
    <t xml:space="preserve">categoryBonus</t>
  </si>
  <si>
    <t xml:space="preserve">category=fullHouse, bonus=15</t>
  </si>
  <si>
    <t xml:space="preserve">wolf_fang</t>
  </si>
  <si>
    <t xml:space="preserve">🦷 늑대 이빨</t>
  </si>
  <si>
    <r>
      <rPr>
        <sz val="10"/>
        <rFont val="Noto Sans CJK SC"/>
        <family val="2"/>
      </rPr>
      <t xml:space="preserve">족보를 확정할 때마다 추가 피해 </t>
    </r>
    <r>
      <rPr>
        <sz val="10"/>
        <rFont val="Malgun Gothic"/>
        <family val="0"/>
        <charset val="1"/>
      </rPr>
      <t xml:space="preserve">+3.</t>
    </r>
  </si>
  <si>
    <t xml:space="preserve">flatDamage</t>
  </si>
  <si>
    <t xml:space="preserve">amount=3</t>
  </si>
  <si>
    <t xml:space="preserve">breadcrumbs</t>
  </si>
  <si>
    <t xml:space="preserve">🍞 빵부스러기</t>
  </si>
  <si>
    <r>
      <rPr>
        <sz val="10"/>
        <rFont val="Noto Sans CJK SC"/>
        <family val="2"/>
      </rPr>
      <t xml:space="preserve">전투에서 승리하면 </t>
    </r>
    <r>
      <rPr>
        <sz val="10"/>
        <rFont val="Malgun Gothic"/>
        <family val="0"/>
        <charset val="1"/>
      </rPr>
      <t xml:space="preserve">HP 4 </t>
    </r>
    <r>
      <rPr>
        <sz val="10"/>
        <rFont val="Noto Sans CJK SC"/>
        <family val="2"/>
      </rPr>
      <t xml:space="preserve">회복</t>
    </r>
    <r>
      <rPr>
        <sz val="10"/>
        <rFont val="Malgun Gothic"/>
        <family val="0"/>
        <charset val="1"/>
      </rPr>
      <t xml:space="preserve">.</t>
    </r>
  </si>
  <si>
    <t xml:space="preserve">healOnVictory</t>
  </si>
  <si>
    <t xml:space="preserve">amount=4</t>
  </si>
  <si>
    <t xml:space="preserve">ledger</t>
  </si>
  <si>
    <t xml:space="preserve">📒 가계부</t>
  </si>
  <si>
    <r>
      <rPr>
        <sz val="10"/>
        <rFont val="Noto Sans CJK SC"/>
        <family val="2"/>
      </rPr>
      <t xml:space="preserve">상단 보너스 발동 기준 </t>
    </r>
    <r>
      <rPr>
        <sz val="10"/>
        <rFont val="Malgun Gothic"/>
        <family val="0"/>
        <charset val="1"/>
      </rPr>
      <t xml:space="preserve">40 → 30.</t>
    </r>
  </si>
  <si>
    <t xml:space="preserve">upperBonusThreshold</t>
  </si>
  <si>
    <t xml:space="preserve">value=30</t>
  </si>
  <si>
    <r>
      <rPr>
        <b val="true"/>
        <sz val="10"/>
        <rFont val="Noto Sans CJK SC"/>
        <family val="2"/>
      </rPr>
      <t xml:space="preserve">층당 </t>
    </r>
    <r>
      <rPr>
        <b val="true"/>
        <sz val="10"/>
        <rFont val="Malgun Gothic"/>
        <family val="0"/>
        <charset val="1"/>
      </rPr>
      <t xml:space="preserve">HP </t>
    </r>
    <r>
      <rPr>
        <b val="true"/>
        <sz val="10"/>
        <rFont val="Noto Sans CJK SC"/>
        <family val="2"/>
      </rPr>
      <t xml:space="preserve">배율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Noto Sans CJK SC"/>
        <family val="2"/>
      </rPr>
      <t xml:space="preserve">입력</t>
    </r>
    <r>
      <rPr>
        <b val="true"/>
        <sz val="10"/>
        <rFont val="Malgun Gothic"/>
        <family val="0"/>
        <charset val="1"/>
      </rPr>
      <t xml:space="preserve">):</t>
    </r>
  </si>
  <si>
    <r>
      <rPr>
        <i val="true"/>
        <sz val="9"/>
        <color rgb="FF7A5C38"/>
        <rFont val="Malgun Gothic"/>
        <family val="0"/>
        <charset val="1"/>
      </rPr>
      <t xml:space="preserve">← act1.json hpScalePerFloor. </t>
    </r>
    <r>
      <rPr>
        <i val="true"/>
        <sz val="9"/>
        <color rgb="FF7A5C38"/>
        <rFont val="Noto Sans CJK SC"/>
        <family val="2"/>
      </rPr>
      <t xml:space="preserve">파란 글씨</t>
    </r>
    <r>
      <rPr>
        <i val="true"/>
        <sz val="9"/>
        <color rgb="FF7A5C38"/>
        <rFont val="Malgun Gothic"/>
        <family val="0"/>
        <charset val="1"/>
      </rPr>
      <t xml:space="preserve">=</t>
    </r>
    <r>
      <rPr>
        <i val="true"/>
        <sz val="9"/>
        <color rgb="FF7A5C38"/>
        <rFont val="Noto Sans CJK SC"/>
        <family val="2"/>
      </rPr>
      <t xml:space="preserve">입력값 </t>
    </r>
    <r>
      <rPr>
        <i val="true"/>
        <sz val="9"/>
        <color rgb="FF7A5C38"/>
        <rFont val="Malgun Gothic"/>
        <family val="0"/>
        <charset val="1"/>
      </rPr>
      <t xml:space="preserve">(11</t>
    </r>
    <r>
      <rPr>
        <i val="true"/>
        <sz val="9"/>
        <color rgb="FF7A5C38"/>
        <rFont val="Noto Sans CJK SC"/>
        <family val="2"/>
      </rPr>
      <t xml:space="preserve">층 실효 </t>
    </r>
    <r>
      <rPr>
        <i val="true"/>
        <sz val="9"/>
        <color rgb="FF7A5C38"/>
        <rFont val="Malgun Gothic"/>
        <family val="0"/>
        <charset val="1"/>
      </rPr>
      <t xml:space="preserve">HP</t>
    </r>
    <r>
      <rPr>
        <i val="true"/>
        <sz val="9"/>
        <color rgb="FF7A5C38"/>
        <rFont val="Noto Sans CJK SC"/>
        <family val="2"/>
      </rPr>
      <t xml:space="preserve">가 자동 재계산</t>
    </r>
    <r>
      <rPr>
        <i val="true"/>
        <sz val="9"/>
        <color rgb="FF7A5C38"/>
        <rFont val="Malgun Gothic"/>
        <family val="0"/>
        <charset val="1"/>
      </rPr>
      <t xml:space="preserve">)</t>
    </r>
  </si>
  <si>
    <t xml:space="preserve">티어</t>
  </si>
  <si>
    <r>
      <rPr>
        <b val="true"/>
        <sz val="10"/>
        <color rgb="FFF5EBD8"/>
        <rFont val="Malgun Gothic"/>
        <family val="0"/>
        <charset val="1"/>
      </rPr>
      <t xml:space="preserve">HP(1</t>
    </r>
    <r>
      <rPr>
        <b val="true"/>
        <sz val="10"/>
        <color rgb="FFF5EBD8"/>
        <rFont val="Noto Sans CJK SC"/>
        <family val="2"/>
      </rPr>
      <t xml:space="preserve">층 기준</t>
    </r>
    <r>
      <rPr>
        <b val="true"/>
        <sz val="10"/>
        <color rgb="FFF5EBD8"/>
        <rFont val="Malgun Gothic"/>
        <family val="0"/>
        <charset val="1"/>
      </rPr>
      <t xml:space="preserve">)</t>
    </r>
  </si>
  <si>
    <r>
      <rPr>
        <b val="true"/>
        <sz val="10"/>
        <color rgb="FFF5EBD8"/>
        <rFont val="Malgun Gothic"/>
        <family val="0"/>
        <charset val="1"/>
      </rPr>
      <t xml:space="preserve">11</t>
    </r>
    <r>
      <rPr>
        <b val="true"/>
        <sz val="10"/>
        <color rgb="FFF5EBD8"/>
        <rFont val="Noto Sans CJK SC"/>
        <family val="2"/>
      </rPr>
      <t xml:space="preserve">층 실효 </t>
    </r>
    <r>
      <rPr>
        <b val="true"/>
        <sz val="10"/>
        <color rgb="FFF5EBD8"/>
        <rFont val="Malgun Gothic"/>
        <family val="0"/>
        <charset val="1"/>
      </rPr>
      <t xml:space="preserve">HP(</t>
    </r>
    <r>
      <rPr>
        <b val="true"/>
        <sz val="10"/>
        <color rgb="FFF5EBD8"/>
        <rFont val="Noto Sans CJK SC"/>
        <family val="2"/>
      </rPr>
      <t xml:space="preserve">최대</t>
    </r>
    <r>
      <rPr>
        <b val="true"/>
        <sz val="10"/>
        <color rgb="FFF5EBD8"/>
        <rFont val="Malgun Gothic"/>
        <family val="0"/>
        <charset val="1"/>
      </rPr>
      <t xml:space="preserve">)</t>
    </r>
  </si>
  <si>
    <t xml:space="preserve">행동 수</t>
  </si>
  <si>
    <t xml:space="preserve">패턴</t>
  </si>
  <si>
    <t xml:space="preserve">페이즈</t>
  </si>
  <si>
    <t xml:space="preserve">crow</t>
  </si>
  <si>
    <t xml:space="preserve">굶주린 까마귀</t>
  </si>
  <si>
    <t xml:space="preserve">33~37</t>
  </si>
  <si>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[peck:3, dive:2, caw:2] · 2</t>
    </r>
    <r>
      <rPr>
        <sz val="10"/>
        <rFont val="Noto Sans CJK SC"/>
        <family val="2"/>
      </rPr>
      <t xml:space="preserve">연속 금지</t>
    </r>
  </si>
  <si>
    <t xml:space="preserve">will_o_wisp</t>
  </si>
  <si>
    <t xml:space="preserve">도깨비불</t>
  </si>
  <si>
    <t xml:space="preserve">30~34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</si>
  <si>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scorch → flicker → flare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</si>
  <si>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forest_spider</t>
  </si>
  <si>
    <t xml:space="preserve">숲거미</t>
  </si>
  <si>
    <t xml:space="preserve">36~40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</si>
  <si>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bite → web → ambush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</si>
  <si>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stray_dog</t>
  </si>
  <si>
    <t xml:space="preserve">들개</t>
  </si>
  <si>
    <t xml:space="preserve">40~44</t>
  </si>
  <si>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[bite:3, growl:1, maul:1] · 2</t>
    </r>
    <r>
      <rPr>
        <sz val="10"/>
        <rFont val="Noto Sans CJK SC"/>
        <family val="2"/>
      </rPr>
      <t xml:space="preserve">연속 금지</t>
    </r>
  </si>
  <si>
    <t xml:space="preserve">thorn_bush</t>
  </si>
  <si>
    <t xml:space="preserve">가시덤불</t>
  </si>
  <si>
    <t xml:space="preserve">43~47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</si>
  <si>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scratch → coil → lash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</si>
  <si>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twig_golem</t>
  </si>
  <si>
    <t xml:space="preserve">옹이 골렘</t>
  </si>
  <si>
    <t xml:space="preserve">50~55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</si>
  <si>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slam → root → crush → mend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</si>
  <si>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alpha_dog</t>
  </si>
  <si>
    <t xml:space="preserve">우두머리 들개</t>
  </si>
  <si>
    <t xml:space="preserve">elite</t>
  </si>
  <si>
    <t xml:space="preserve">70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</si>
  <si>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bite → howl → bite → frenzy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</si>
  <si>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wolf</t>
  </si>
  <si>
    <t xml:space="preserve">늑대</t>
  </si>
  <si>
    <t xml:space="preserve">boss</t>
  </si>
  <si>
    <t xml:space="preserve">115</t>
  </si>
  <si>
    <r>
      <rPr>
        <sz val="10"/>
        <rFont val="Malgun Gothic"/>
        <family val="0"/>
        <charset val="1"/>
      </rPr>
      <t xml:space="preserve">P1(~50%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bite → stalk → pounce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 / P2(~0%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[rend:3, bite:2, howl:2, lick:1, pounce:1] · 2</t>
    </r>
    <r>
      <rPr>
        <sz val="10"/>
        <rFont val="Noto Sans CJK SC"/>
        <family val="2"/>
      </rPr>
      <t xml:space="preserve">연속 금지</t>
    </r>
  </si>
  <si>
    <r>
      <rPr>
        <b val="true"/>
        <sz val="10"/>
        <color rgb="FFF5EBD8"/>
        <rFont val="Noto Sans CJK SC"/>
        <family val="2"/>
      </rPr>
      <t xml:space="preserve">적 </t>
    </r>
    <r>
      <rPr>
        <b val="true"/>
        <sz val="10"/>
        <color rgb="FFF5EBD8"/>
        <rFont val="Malgun Gothic"/>
        <family val="0"/>
        <charset val="1"/>
      </rPr>
      <t xml:space="preserve">id</t>
    </r>
  </si>
  <si>
    <t xml:space="preserve">적 이름</t>
  </si>
  <si>
    <r>
      <rPr>
        <b val="true"/>
        <sz val="10"/>
        <color rgb="FFF5EBD8"/>
        <rFont val="Noto Sans CJK SC"/>
        <family val="2"/>
      </rPr>
      <t xml:space="preserve">행동 </t>
    </r>
    <r>
      <rPr>
        <b val="true"/>
        <sz val="10"/>
        <color rgb="FFF5EBD8"/>
        <rFont val="Malgun Gothic"/>
        <family val="0"/>
        <charset val="1"/>
      </rPr>
      <t xml:space="preserve">id</t>
    </r>
  </si>
  <si>
    <t xml:space="preserve">행동명</t>
  </si>
  <si>
    <t xml:space="preserve">수치</t>
  </si>
  <si>
    <t xml:space="preserve">peck</t>
  </si>
  <si>
    <t xml:space="preserve">쪼기</t>
  </si>
  <si>
    <t xml:space="preserve">⚔️공격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</si>
  <si>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5</t>
    </r>
  </si>
  <si>
    <t xml:space="preserve">dive</t>
  </si>
  <si>
    <t xml:space="preserve">급강하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</si>
  <si>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9</t>
    </r>
  </si>
  <si>
    <t xml:space="preserve">caw</t>
  </si>
  <si>
    <t xml:space="preserve">어지러운 날갯짓</t>
  </si>
  <si>
    <r>
      <rPr>
        <sz val="10"/>
        <rFont val="Noto Sans CJK SC"/>
        <family val="2"/>
      </rPr>
      <t xml:space="preserve">⚔️공격 </t>
    </r>
    <r>
      <rPr>
        <sz val="10"/>
        <rFont val="Malgun Gothic"/>
        <family val="0"/>
        <charset val="1"/>
      </rPr>
      <t xml:space="preserve">+ 🌀</t>
    </r>
    <r>
      <rPr>
        <sz val="10"/>
        <rFont val="Noto Sans CJK SC"/>
        <family val="2"/>
      </rPr>
      <t xml:space="preserve">혼란</t>
    </r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</si>
  <si>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4, </t>
    </r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1</t>
    </r>
  </si>
  <si>
    <t xml:space="preserve">scorch</t>
  </si>
  <si>
    <t xml:space="preserve">지지기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</si>
  <si>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6</t>
    </r>
  </si>
  <si>
    <t xml:space="preserve">flicker</t>
  </si>
  <si>
    <t xml:space="preserve">명멸</t>
  </si>
  <si>
    <r>
      <rPr>
        <sz val="10"/>
        <rFont val="Noto Sans CJK SC"/>
        <family val="2"/>
      </rPr>
      <t xml:space="preserve">❓의문 </t>
    </r>
    <r>
      <rPr>
        <sz val="10"/>
        <rFont val="Malgun Gothic"/>
        <family val="0"/>
        <charset val="1"/>
      </rPr>
      <t xml:space="preserve">(💪</t>
    </r>
    <r>
      <rPr>
        <sz val="10"/>
        <rFont val="Noto Sans CJK SC"/>
        <family val="2"/>
      </rPr>
      <t xml:space="preserve">강화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</si>
  <si>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강화 </t>
    </r>
    <r>
      <rPr>
        <sz val="10"/>
        <rFont val="Malgun Gothic"/>
        <family val="0"/>
        <charset val="1"/>
      </rPr>
      <t xml:space="preserve">2</t>
    </r>
  </si>
  <si>
    <t xml:space="preserve">flare</t>
  </si>
  <si>
    <t xml:space="preserve">불꽃 폭발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</si>
  <si>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11</t>
    </r>
  </si>
  <si>
    <t xml:space="preserve">bite</t>
  </si>
  <si>
    <t xml:space="preserve">물기</t>
  </si>
  <si>
    <t xml:space="preserve">web</t>
  </si>
  <si>
    <t xml:space="preserve">거미줄</t>
  </si>
  <si>
    <t xml:space="preserve">🌀혼란</t>
  </si>
  <si>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2</t>
    </r>
  </si>
  <si>
    <t xml:space="preserve">ambush</t>
  </si>
  <si>
    <t xml:space="preserve">기습</t>
  </si>
  <si>
    <t xml:space="preserve">물어뜯기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</si>
  <si>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8</t>
    </r>
  </si>
  <si>
    <t xml:space="preserve">growl</t>
  </si>
  <si>
    <t xml:space="preserve">으르렁</t>
  </si>
  <si>
    <t xml:space="preserve">💪강화</t>
  </si>
  <si>
    <r>
      <rPr>
        <sz val="10"/>
        <rFont val="Noto Sans CJK SC"/>
        <family val="2"/>
      </rPr>
      <t xml:space="preserve">강화 </t>
    </r>
    <r>
      <rPr>
        <sz val="10"/>
        <rFont val="Malgun Gothic"/>
        <family val="0"/>
        <charset val="1"/>
      </rPr>
      <t xml:space="preserve">3</t>
    </r>
  </si>
  <si>
    <t xml:space="preserve">maul</t>
  </si>
  <si>
    <t xml:space="preserve">사냥</t>
  </si>
  <si>
    <r>
      <rPr>
        <sz val="10"/>
        <rFont val="Noto Sans CJK SC"/>
        <family val="2"/>
      </rPr>
      <t xml:space="preserve">⚔️공격 </t>
    </r>
    <r>
      <rPr>
        <sz val="10"/>
        <rFont val="Malgun Gothic"/>
        <family val="0"/>
        <charset val="1"/>
      </rPr>
      <t xml:space="preserve">+ 💪</t>
    </r>
    <r>
      <rPr>
        <sz val="10"/>
        <rFont val="Noto Sans CJK SC"/>
        <family val="2"/>
      </rPr>
      <t xml:space="preserve">강화</t>
    </r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</si>
  <si>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12, </t>
    </r>
    <r>
      <rPr>
        <sz val="10"/>
        <rFont val="Noto Sans CJK SC"/>
        <family val="2"/>
      </rPr>
      <t xml:space="preserve">강화 </t>
    </r>
    <r>
      <rPr>
        <sz val="10"/>
        <rFont val="Malgun Gothic"/>
        <family val="0"/>
        <charset val="1"/>
      </rPr>
      <t xml:space="preserve">2</t>
    </r>
  </si>
  <si>
    <t xml:space="preserve">scratch</t>
  </si>
  <si>
    <t xml:space="preserve">할퀴기</t>
  </si>
  <si>
    <t xml:space="preserve">coil</t>
  </si>
  <si>
    <t xml:space="preserve">가시 세우기</t>
  </si>
  <si>
    <r>
      <rPr>
        <sz val="10"/>
        <rFont val="Noto Sans CJK SC"/>
        <family val="2"/>
      </rPr>
      <t xml:space="preserve">🛡방어 </t>
    </r>
    <r>
      <rPr>
        <sz val="10"/>
        <rFont val="Malgun Gothic"/>
        <family val="0"/>
        <charset val="1"/>
      </rPr>
      <t xml:space="preserve">+ 🌀</t>
    </r>
    <r>
      <rPr>
        <sz val="10"/>
        <rFont val="Noto Sans CJK SC"/>
        <family val="2"/>
      </rPr>
      <t xml:space="preserve">혼란</t>
    </r>
  </si>
  <si>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8, </t>
    </r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1</t>
    </r>
  </si>
  <si>
    <t xml:space="preserve">lash</t>
  </si>
  <si>
    <t xml:space="preserve">덩굴 채찍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</si>
  <si>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12</t>
    </r>
  </si>
  <si>
    <t xml:space="preserve">slam</t>
  </si>
  <si>
    <t xml:space="preserve">내리찍기</t>
  </si>
  <si>
    <t xml:space="preserve">root</t>
  </si>
  <si>
    <t xml:space="preserve">뿌리내림</t>
  </si>
  <si>
    <t xml:space="preserve">🛡방어</t>
  </si>
  <si>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10</t>
    </r>
  </si>
  <si>
    <t xml:space="preserve">crush</t>
  </si>
  <si>
    <t xml:space="preserve">짓뭉개기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</si>
  <si>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15</t>
    </r>
  </si>
  <si>
    <t xml:space="preserve">mend</t>
  </si>
  <si>
    <t xml:space="preserve">수액 빨아올리기</t>
  </si>
  <si>
    <t xml:space="preserve">💚치료</t>
  </si>
  <si>
    <r>
      <rPr>
        <sz val="10"/>
        <rFont val="Noto Sans CJK SC"/>
        <family val="2"/>
      </rPr>
      <t xml:space="preserve">치료 </t>
    </r>
    <r>
      <rPr>
        <sz val="10"/>
        <rFont val="Malgun Gothic"/>
        <family val="0"/>
        <charset val="1"/>
      </rPr>
      <t xml:space="preserve">7</t>
    </r>
  </si>
  <si>
    <t xml:space="preserve">howl</t>
  </si>
  <si>
    <t xml:space="preserve">울부짖음</t>
  </si>
  <si>
    <r>
      <rPr>
        <sz val="10"/>
        <rFont val="Noto Sans CJK SC"/>
        <family val="2"/>
      </rPr>
      <t xml:space="preserve">🛡방어 </t>
    </r>
    <r>
      <rPr>
        <sz val="10"/>
        <rFont val="Malgun Gothic"/>
        <family val="0"/>
        <charset val="1"/>
      </rPr>
      <t xml:space="preserve">+ 💪</t>
    </r>
    <r>
      <rPr>
        <sz val="10"/>
        <rFont val="Noto Sans CJK SC"/>
        <family val="2"/>
      </rPr>
      <t xml:space="preserve">강화</t>
    </r>
  </si>
  <si>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6, </t>
    </r>
    <r>
      <rPr>
        <sz val="10"/>
        <rFont val="Noto Sans CJK SC"/>
        <family val="2"/>
      </rPr>
      <t xml:space="preserve">강화 </t>
    </r>
    <r>
      <rPr>
        <sz val="10"/>
        <rFont val="Malgun Gothic"/>
        <family val="0"/>
        <charset val="1"/>
      </rPr>
      <t xml:space="preserve">3</t>
    </r>
  </si>
  <si>
    <t xml:space="preserve">frenzy</t>
  </si>
  <si>
    <t xml:space="preserve">광란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</si>
  <si>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17</t>
    </r>
  </si>
  <si>
    <t xml:space="preserve">stalk</t>
  </si>
  <si>
    <t xml:space="preserve">어둠 속 발소리</t>
  </si>
  <si>
    <r>
      <rPr>
        <sz val="10"/>
        <rFont val="Noto Sans CJK SC"/>
        <family val="2"/>
      </rPr>
      <t xml:space="preserve">❓의문 </t>
    </r>
    <r>
      <rPr>
        <sz val="10"/>
        <rFont val="Malgun Gothic"/>
        <family val="0"/>
        <charset val="1"/>
      </rPr>
      <t xml:space="preserve">(🛡</t>
    </r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+ 💪</t>
    </r>
    <r>
      <rPr>
        <sz val="10"/>
        <rFont val="Noto Sans CJK SC"/>
        <family val="2"/>
      </rPr>
      <t xml:space="preserve">강화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</si>
  <si>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8, </t>
    </r>
    <r>
      <rPr>
        <sz val="10"/>
        <rFont val="Noto Sans CJK SC"/>
        <family val="2"/>
      </rPr>
      <t xml:space="preserve">강화 </t>
    </r>
    <r>
      <rPr>
        <sz val="10"/>
        <rFont val="Malgun Gothic"/>
        <family val="0"/>
        <charset val="1"/>
      </rPr>
      <t xml:space="preserve">2</t>
    </r>
  </si>
  <si>
    <t xml:space="preserve">pounce</t>
  </si>
  <si>
    <t xml:space="preserve">덮치기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</si>
  <si>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20</t>
    </r>
  </si>
  <si>
    <t xml:space="preserve">핏빛 울부짖음</t>
  </si>
  <si>
    <r>
      <rPr>
        <sz val="10"/>
        <rFont val="Noto Sans CJK SC"/>
        <family val="2"/>
      </rPr>
      <t xml:space="preserve">💪강화 </t>
    </r>
    <r>
      <rPr>
        <sz val="10"/>
        <rFont val="Malgun Gothic"/>
        <family val="0"/>
        <charset val="1"/>
      </rPr>
      <t xml:space="preserve">+ 🌀</t>
    </r>
    <r>
      <rPr>
        <sz val="10"/>
        <rFont val="Noto Sans CJK SC"/>
        <family val="2"/>
      </rPr>
      <t xml:space="preserve">혼란</t>
    </r>
  </si>
  <si>
    <r>
      <rPr>
        <sz val="10"/>
        <rFont val="Noto Sans CJK SC"/>
        <family val="2"/>
      </rPr>
      <t xml:space="preserve">강화 </t>
    </r>
    <r>
      <rPr>
        <sz val="10"/>
        <rFont val="Malgun Gothic"/>
        <family val="0"/>
        <charset val="1"/>
      </rPr>
      <t xml:space="preserve">3, </t>
    </r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1</t>
    </r>
  </si>
  <si>
    <t xml:space="preserve">rend</t>
  </si>
  <si>
    <t xml:space="preserve">갈기갈기</t>
  </si>
  <si>
    <t xml:space="preserve">lick</t>
  </si>
  <si>
    <t xml:space="preserve">상처 핥기</t>
  </si>
  <si>
    <r>
      <rPr>
        <sz val="10"/>
        <rFont val="Noto Sans CJK SC"/>
        <family val="2"/>
      </rPr>
      <t xml:space="preserve">치료 </t>
    </r>
    <r>
      <rPr>
        <sz val="10"/>
        <rFont val="Malgun Gothic"/>
        <family val="0"/>
        <charset val="1"/>
      </rPr>
      <t xml:space="preserve">10</t>
    </r>
  </si>
  <si>
    <t xml:space="preserve">무기</t>
  </si>
  <si>
    <t xml:space="preserve">컨셉</t>
  </si>
  <si>
    <r>
      <rPr>
        <b val="true"/>
        <sz val="10"/>
        <color rgb="FFF5EBD8"/>
        <rFont val="Noto Sans CJK SC"/>
        <family val="2"/>
      </rPr>
      <t xml:space="preserve">시작 족보</t>
    </r>
    <r>
      <rPr>
        <b val="true"/>
        <sz val="10"/>
        <color rgb="FFF5EBD8"/>
        <rFont val="Malgun Gothic"/>
        <family val="0"/>
        <charset val="1"/>
      </rPr>
      <t xml:space="preserve">(</t>
    </r>
    <r>
      <rPr>
        <b val="true"/>
        <sz val="10"/>
        <color rgb="FFF5EBD8"/>
        <rFont val="Noto Sans CJK SC"/>
        <family val="2"/>
      </rPr>
      <t xml:space="preserve">변형</t>
    </r>
    <r>
      <rPr>
        <b val="true"/>
        <sz val="10"/>
        <color rgb="FFF5EBD8"/>
        <rFont val="Malgun Gothic"/>
        <family val="0"/>
        <charset val="1"/>
      </rPr>
      <t xml:space="preserve">)</t>
    </r>
  </si>
  <si>
    <t xml:space="preserve">gun</t>
  </si>
  <si>
    <t xml:space="preserve">🔫 사냥꾼의 총</t>
  </si>
  <si>
    <r>
      <rPr>
        <sz val="10"/>
        <rFont val="Noto Sans CJK SC"/>
        <family val="2"/>
      </rPr>
      <t xml:space="preserve">멀리서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크게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한 방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</si>
  <si>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떠돌이의 직감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찬스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늑대 사냥탄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식스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묵직한 일격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포카드</t>
    </r>
    <r>
      <rPr>
        <sz val="10"/>
        <rFont val="Malgun Gothic"/>
        <family val="0"/>
        <charset val="1"/>
      </rPr>
      <t xml:space="preserve">)</t>
    </r>
  </si>
  <si>
    <t xml:space="preserve">scythe</t>
  </si>
  <si>
    <t xml:space="preserve">🗡️ 녹슨 낫</t>
  </si>
  <si>
    <r>
      <rPr>
        <sz val="10"/>
        <rFont val="Noto Sans CJK SC"/>
        <family val="2"/>
      </rPr>
      <t xml:space="preserve">숲을 베어 넘기는 큰 호선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</si>
  <si>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떠돌이의 직감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찬스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세 번 찍는 도끼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트리플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몰이사냥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스몰 스트레이트</t>
    </r>
    <r>
      <rPr>
        <sz val="10"/>
        <rFont val="Malgun Gothic"/>
        <family val="0"/>
        <charset val="1"/>
      </rPr>
      <t xml:space="preserve">)</t>
    </r>
  </si>
  <si>
    <t xml:space="preserve">lantern</t>
  </si>
  <si>
    <t xml:space="preserve">🏮 붉은 랜턴</t>
  </si>
  <si>
    <r>
      <rPr>
        <sz val="10"/>
        <rFont val="Noto Sans CJK SC"/>
        <family val="2"/>
      </rPr>
      <t xml:space="preserve">어둠을 밀어내고 숨을 고른다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</si>
  <si>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숲의 속삭임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찬스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약초 한 줌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트레이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할머니의 오두막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풀하우스</t>
    </r>
    <r>
      <rPr>
        <sz val="10"/>
        <rFont val="Malgun Gothic"/>
        <family val="0"/>
        <charset val="1"/>
      </rPr>
      <t xml:space="preserve">)</t>
    </r>
  </si>
  <si>
    <t xml:space="preserve">shovel</t>
  </si>
  <si>
    <t xml:space="preserve">⛏️ 무덤지기의 삽</t>
  </si>
  <si>
    <r>
      <rPr>
        <sz val="10"/>
        <rFont val="Noto Sans CJK SC"/>
        <family val="2"/>
      </rPr>
      <t xml:space="preserve">파고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막고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버틴다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</si>
  <si>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떠돌이의 직감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찬스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참나무 방패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포스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가시 울타리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듀스</t>
    </r>
    <r>
      <rPr>
        <sz val="10"/>
        <rFont val="Malgun Gothic"/>
        <family val="0"/>
        <charset val="1"/>
      </rPr>
      <t xml:space="preserve">)</t>
    </r>
  </si>
  <si>
    <t xml:space="preserve">crossbow</t>
  </si>
  <si>
    <t xml:space="preserve">🏹 물푸레 쇠뇌</t>
  </si>
  <si>
    <r>
      <rPr>
        <sz val="10"/>
        <rFont val="Noto Sans CJK SC"/>
        <family val="2"/>
      </rPr>
      <t xml:space="preserve">조용히 재고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정확히 맞힌다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</si>
  <si>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떠돌이의 직감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찬스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화약 재기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파이브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바람길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스몰 스트레이트</t>
    </r>
    <r>
      <rPr>
        <sz val="10"/>
        <rFont val="Malgun Gothic"/>
        <family val="0"/>
        <charset val="1"/>
      </rPr>
      <t xml:space="preserve">)</t>
    </r>
  </si>
  <si>
    <t xml:space="preserve">dagger</t>
  </si>
  <si>
    <t xml:space="preserve">🔪 빵칼 단검</t>
  </si>
  <si>
    <r>
      <rPr>
        <sz val="10"/>
        <rFont val="Noto Sans CJK SC"/>
        <family val="2"/>
      </rPr>
      <t xml:space="preserve">작고 빠른 손놀림의 연속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</si>
  <si>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숲의 속삭임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찬스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바늘 한 땀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에이스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붉은 망토 자락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듀스</t>
    </r>
    <r>
      <rPr>
        <sz val="10"/>
        <rFont val="Malgun Gothic"/>
        <family val="0"/>
        <charset val="1"/>
      </rPr>
      <t xml:space="preserve">)</t>
    </r>
  </si>
  <si>
    <r>
      <rPr>
        <i val="true"/>
        <sz val="9"/>
        <color rgb="FF7A5C38"/>
        <rFont val="Noto Sans CJK SC"/>
        <family val="2"/>
      </rPr>
      <t xml:space="preserve">시작 시 </t>
    </r>
    <r>
      <rPr>
        <i val="true"/>
        <sz val="9"/>
        <color rgb="FF7A5C38"/>
        <rFont val="Malgun Gothic"/>
        <family val="0"/>
        <charset val="1"/>
      </rPr>
      <t xml:space="preserve">6</t>
    </r>
    <r>
      <rPr>
        <i val="true"/>
        <sz val="9"/>
        <color rgb="FF7A5C38"/>
        <rFont val="Noto Sans CJK SC"/>
        <family val="2"/>
      </rPr>
      <t xml:space="preserve">종 중 </t>
    </r>
    <r>
      <rPr>
        <i val="true"/>
        <sz val="9"/>
        <color rgb="FF7A5C38"/>
        <rFont val="Malgun Gothic"/>
        <family val="0"/>
        <charset val="1"/>
      </rPr>
      <t xml:space="preserve">3</t>
    </r>
    <r>
      <rPr>
        <i val="true"/>
        <sz val="9"/>
        <color rgb="FF7A5C38"/>
        <rFont val="Noto Sans CJK SC"/>
        <family val="2"/>
      </rPr>
      <t xml:space="preserve">개 무작위 제안 </t>
    </r>
    <r>
      <rPr>
        <i val="true"/>
        <sz val="9"/>
        <color rgb="FF7A5C38"/>
        <rFont val="Malgun Gothic"/>
        <family val="0"/>
        <charset val="1"/>
      </rPr>
      <t xml:space="preserve">· </t>
    </r>
    <r>
      <rPr>
        <i val="true"/>
        <sz val="9"/>
        <color rgb="FF7A5C38"/>
        <rFont val="Noto Sans CJK SC"/>
        <family val="2"/>
      </rPr>
      <t xml:space="preserve">모든 세트에 찬스 계열 포함</t>
    </r>
    <r>
      <rPr>
        <i val="true"/>
        <sz val="9"/>
        <color rgb="FF7A5C38"/>
        <rFont val="Malgun Gothic"/>
        <family val="0"/>
        <charset val="1"/>
      </rPr>
      <t xml:space="preserve">(</t>
    </r>
    <r>
      <rPr>
        <i val="true"/>
        <sz val="9"/>
        <color rgb="FF7A5C38"/>
        <rFont val="Noto Sans CJK SC"/>
        <family val="2"/>
      </rPr>
      <t xml:space="preserve">소프트락 방지</t>
    </r>
    <r>
      <rPr>
        <i val="true"/>
        <sz val="9"/>
        <color rgb="FF7A5C38"/>
        <rFont val="Malgun Gothic"/>
        <family val="0"/>
        <charset val="1"/>
      </rPr>
      <t xml:space="preserve">)</t>
    </r>
  </si>
  <si>
    <r>
      <rPr>
        <b val="true"/>
        <sz val="10"/>
        <color rgb="FFF5EBD8"/>
        <rFont val="Noto Sans CJK SC"/>
        <family val="2"/>
      </rPr>
      <t xml:space="preserve">이벤트 </t>
    </r>
    <r>
      <rPr>
        <b val="true"/>
        <sz val="10"/>
        <color rgb="FFF5EBD8"/>
        <rFont val="Malgun Gothic"/>
        <family val="0"/>
        <charset val="1"/>
      </rPr>
      <t xml:space="preserve">id</t>
    </r>
  </si>
  <si>
    <t xml:space="preserve">NPC</t>
  </si>
  <si>
    <t xml:space="preserve">선택지</t>
  </si>
  <si>
    <t xml:space="preserve">결과 대사</t>
  </si>
  <si>
    <t xml:space="preserve">ash_crone</t>
  </si>
  <si>
    <t xml:space="preserve">🧓 잿빛 노파</t>
  </si>
  <si>
    <t xml:space="preserve">🧪 검은 물약을 마신다</t>
  </si>
  <si>
    <r>
      <rPr>
        <sz val="10"/>
        <rFont val="Malgun Gothic"/>
        <family val="0"/>
        <charset val="1"/>
      </rPr>
      <t xml:space="preserve">HP </t>
    </r>
    <r>
      <rPr>
        <sz val="10"/>
        <rFont val="Noto Sans CJK SC"/>
        <family val="2"/>
      </rPr>
      <t xml:space="preserve">회복 </t>
    </r>
    <r>
      <rPr>
        <sz val="10"/>
        <rFont val="Malgun Gothic"/>
        <family val="0"/>
        <charset val="1"/>
      </rPr>
      <t xml:space="preserve">15</t>
    </r>
  </si>
  <si>
    <r>
      <rPr>
        <sz val="10"/>
        <rFont val="Noto Sans CJK SC"/>
        <family val="2"/>
      </rPr>
      <t xml:space="preserve">쓰디쓴 물약이 상처를 봉한다</t>
    </r>
    <r>
      <rPr>
        <sz val="10"/>
        <rFont val="Malgun Gothic"/>
        <family val="0"/>
        <charset val="1"/>
      </rPr>
      <t xml:space="preserve">.</t>
    </r>
  </si>
  <si>
    <t xml:space="preserve">🩸 피의 거래</t>
  </si>
  <si>
    <r>
      <rPr>
        <sz val="10"/>
        <rFont val="Malgun Gothic"/>
        <family val="0"/>
        <charset val="1"/>
      </rPr>
      <t xml:space="preserve">HP </t>
    </r>
    <r>
      <rPr>
        <sz val="10"/>
        <rFont val="Noto Sans CJK SC"/>
        <family val="2"/>
      </rPr>
      <t xml:space="preserve">감소 </t>
    </r>
    <r>
      <rPr>
        <sz val="10"/>
        <rFont val="Malgun Gothic"/>
        <family val="0"/>
        <charset val="1"/>
      </rPr>
      <t xml:space="preserve">8 + </t>
    </r>
    <r>
      <rPr>
        <sz val="10"/>
        <rFont val="Noto Sans CJK SC"/>
        <family val="2"/>
      </rPr>
      <t xml:space="preserve">무작위 유물</t>
    </r>
  </si>
  <si>
    <r>
      <rPr>
        <sz val="10"/>
        <rFont val="Noto Sans CJK SC"/>
        <family val="2"/>
      </rPr>
      <t xml:space="preserve">노파가 웃으며 보따리에서 무언가를 꺼내 쥐여 준다</t>
    </r>
    <r>
      <rPr>
        <sz val="10"/>
        <rFont val="Malgun Gothic"/>
        <family val="0"/>
        <charset val="1"/>
      </rPr>
      <t xml:space="preserve">.</t>
    </r>
  </si>
  <si>
    <t xml:space="preserve">🚪 조용히 지나친다</t>
  </si>
  <si>
    <r>
      <rPr>
        <sz val="10"/>
        <rFont val="Noto Sans CJK SC"/>
        <family val="2"/>
      </rPr>
      <t xml:space="preserve">노파의 시선이 등 뒤에 오래 남는다</t>
    </r>
    <r>
      <rPr>
        <sz val="10"/>
        <rFont val="Malgun Gothic"/>
        <family val="0"/>
        <charset val="1"/>
      </rPr>
      <t xml:space="preserve">.</t>
    </r>
  </si>
  <si>
    <t xml:space="preserve">signpost</t>
  </si>
  <si>
    <t xml:space="preserve">🪧 부러진 이정표</t>
  </si>
  <si>
    <t xml:space="preserve">🪓 밑동을 파헤친다</t>
  </si>
  <si>
    <t xml:space="preserve">무작위 족보 변형</t>
  </si>
  <si>
    <r>
      <rPr>
        <sz val="10"/>
        <rFont val="Noto Sans CJK SC"/>
        <family val="2"/>
      </rPr>
      <t xml:space="preserve">기름먹인 천에 싸인 낡은 두루마리 조각이 나왔다</t>
    </r>
    <r>
      <rPr>
        <sz val="10"/>
        <rFont val="Malgun Gothic"/>
        <family val="0"/>
        <charset val="1"/>
      </rPr>
      <t xml:space="preserve">.</t>
    </r>
  </si>
  <si>
    <t xml:space="preserve">🙏 무사한 여행을 빈다</t>
  </si>
  <si>
    <r>
      <rPr>
        <sz val="10"/>
        <rFont val="Noto Sans CJK SC"/>
        <family val="2"/>
      </rPr>
      <t xml:space="preserve">최대 </t>
    </r>
    <r>
      <rPr>
        <sz val="10"/>
        <rFont val="Malgun Gothic"/>
        <family val="0"/>
        <charset val="1"/>
      </rPr>
      <t xml:space="preserve">HP 4</t>
    </r>
  </si>
  <si>
    <r>
      <rPr>
        <sz val="10"/>
        <rFont val="Noto Sans CJK SC"/>
        <family val="2"/>
      </rPr>
      <t xml:space="preserve">몸이 조금 단단해진 기분이다</t>
    </r>
    <r>
      <rPr>
        <sz val="10"/>
        <rFont val="Malgun Gothic"/>
        <family val="0"/>
        <charset val="1"/>
      </rPr>
      <t xml:space="preserve">.</t>
    </r>
  </si>
  <si>
    <t xml:space="preserve">🚶 갈 길을 간다</t>
  </si>
  <si>
    <r>
      <rPr>
        <sz val="10"/>
        <rFont val="Noto Sans CJK SC"/>
        <family val="2"/>
      </rPr>
      <t xml:space="preserve">바람이 이정표를 삐걱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흔들었다</t>
    </r>
    <r>
      <rPr>
        <sz val="10"/>
        <rFont val="Malgun Gothic"/>
        <family val="0"/>
        <charset val="1"/>
      </rPr>
      <t xml:space="preserve">.</t>
    </r>
  </si>
  <si>
    <t xml:space="preserve">altar</t>
  </si>
  <si>
    <t xml:space="preserve">🕯️ 이끼 낀 제단</t>
  </si>
  <si>
    <t xml:space="preserve">🙇 무릎 꿇고 기도한다</t>
  </si>
  <si>
    <r>
      <rPr>
        <sz val="10"/>
        <rFont val="Malgun Gothic"/>
        <family val="0"/>
        <charset val="1"/>
      </rPr>
      <t xml:space="preserve">HP </t>
    </r>
    <r>
      <rPr>
        <sz val="10"/>
        <rFont val="Noto Sans CJK SC"/>
        <family val="2"/>
      </rPr>
      <t xml:space="preserve">회복 </t>
    </r>
    <r>
      <rPr>
        <sz val="10"/>
        <rFont val="Malgun Gothic"/>
        <family val="0"/>
        <charset val="1"/>
      </rPr>
      <t xml:space="preserve">8</t>
    </r>
  </si>
  <si>
    <r>
      <rPr>
        <sz val="10"/>
        <rFont val="Noto Sans CJK SC"/>
        <family val="2"/>
      </rPr>
      <t xml:space="preserve">촛불이 한 번 크게 흔들리고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통증이 가라앉았다</t>
    </r>
    <r>
      <rPr>
        <sz val="10"/>
        <rFont val="Malgun Gothic"/>
        <family val="0"/>
        <charset val="1"/>
      </rPr>
      <t xml:space="preserve">.</t>
    </r>
  </si>
  <si>
    <t xml:space="preserve">🎲 제물을 훔친다</t>
  </si>
  <si>
    <r>
      <rPr>
        <sz val="10"/>
        <rFont val="Noto Sans CJK SC"/>
        <family val="2"/>
      </rPr>
      <t xml:space="preserve">무작위 주사위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교체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</si>
  <si>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제단 위의 주사위가 손안에서 차갑게 식어 있다</t>
    </r>
    <r>
      <rPr>
        <sz val="10"/>
        <rFont val="Malgun Gothic"/>
        <family val="0"/>
        <charset val="1"/>
      </rPr>
      <t xml:space="preserve">.</t>
    </r>
  </si>
  <si>
    <t xml:space="preserve">🚶 떠난다</t>
  </si>
  <si>
    <r>
      <rPr>
        <sz val="10"/>
        <rFont val="Noto Sans CJK SC"/>
        <family val="2"/>
      </rPr>
      <t xml:space="preserve">돌아보지 않는 편이 좋을 것 같았다</t>
    </r>
    <r>
      <rPr>
        <sz val="10"/>
        <rFont val="Malgun Gothic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</si>
</sst>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1">
    <numFmt numFmtId="164" formatCode="General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A02C25"/>
      <name val="Malgun Gothic"/>
      <family val="0"/>
      <charset val="1"/>
    </font>
    <font>
      <b val="true"/>
      <sz val="16"/>
      <color rgb="FFA02C25"/>
      <name val="Noto Sans CJK SC"/>
      <family val="2"/>
    </font>
    <font>
      <i val="true"/>
      <sz val="10"/>
      <name val="Noto Sans CJK SC"/>
      <family val="2"/>
    </font>
    <font>
      <i val="true"/>
      <sz val="10"/>
      <name val="Malgun Gothic"/>
      <family val="0"/>
      <charset val="1"/>
    </font>
    <font>
      <b val="true"/>
      <sz val="10"/>
      <color rgb="FFF5EBD8"/>
      <name val="Noto Sans CJK SC"/>
      <family val="2"/>
    </font>
    <font>
      <sz val="10"/>
      <name val="Noto Sans CJK SC"/>
      <family val="2"/>
    </font>
    <font>
      <sz val="10"/>
      <name val="Malgun Gothic"/>
      <family val="0"/>
      <charset val="1"/>
    </font>
    <font>
      <i val="true"/>
      <sz val="9"/>
      <color rgb="FF7A5C38"/>
      <name val="Noto Sans CJK SC"/>
      <family val="2"/>
    </font>
    <font>
      <i val="true"/>
      <sz val="9"/>
      <color rgb="FF7A5C38"/>
      <name val="Malgun Gothic"/>
      <family val="0"/>
      <charset val="1"/>
    </font>
    <font>
      <b val="true"/>
      <sz val="10"/>
      <color rgb="FFF5EBD8"/>
      <name val="Malgun Gothic"/>
      <family val="0"/>
      <charset val="1"/>
    </font>
    <font>
      <b val="true"/>
      <sz val="10"/>
      <name val="Noto Sans CJK SC"/>
      <family val="2"/>
    </font>
    <font>
      <b val="true"/>
      <sz val="10"/>
      <color rgb="FF2F5B8C"/>
      <name val="Malgun Gothic"/>
      <family val="0"/>
      <charset val="1"/>
    </font>
    <font>
      <b val="true"/>
      <sz val="10"/>
      <color rgb="FF7D5BA6"/>
      <name val="Malgun Gothic"/>
      <family val="0"/>
      <charset val="1"/>
    </font>
    <font>
      <b val="true"/>
      <sz val="10"/>
      <color rgb="FFB08948"/>
      <name val="Malgun Gothic"/>
      <family val="0"/>
      <charset val="1"/>
    </font>
    <font>
      <b val="true"/>
      <sz val="10"/>
      <name val="Malgun Gothic"/>
      <family val="0"/>
      <charset val="1"/>
    </font>
    <font>
      <sz val="10"/>
      <color rgb="FF0000FF"/>
      <name val="Malgun Gothic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3C2F26"/>
        <bgColor rgb="FF333300"/>
      </patternFill>
    </fill>
    <fill>
      <patternFill patternType="solid">
        <fgColor rgb="FFFAF4E6"/>
        <bgColor rgb="FFF5EBD8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B896"/>
      </left>
      <right style="thin">
        <color rgb="FFC9B896"/>
      </right>
      <top style="thin">
        <color rgb="FFC9B896"/>
      </top>
      <bottom style="thin">
        <color rgb="FFC9B89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AF4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A5C38"/>
      <rgbColor rgb="FF800080"/>
      <rgbColor rgb="FF008080"/>
      <rgbColor rgb="FFC9B896"/>
      <rgbColor rgb="FF808080"/>
      <rgbColor rgb="FF9999FF"/>
      <rgbColor rgb="FF993366"/>
      <rgbColor rgb="FFF5EBD8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7D5BA6"/>
      <rgbColor rgb="FFB08948"/>
      <rgbColor rgb="FF003366"/>
      <rgbColor rgb="FF339966"/>
      <rgbColor rgb="FF003300"/>
      <rgbColor rgb="FF333300"/>
      <rgbColor rgb="FFA02C25"/>
      <rgbColor rgb="FF993366"/>
      <rgbColor rgb="FF2F5B8C"/>
      <rgbColor rgb="FF3C2F2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62"/>
    <col collapsed="false" customWidth="true" hidden="false" outlineLevel="0" max="3" min="3" style="0" width="10"/>
  </cols>
  <sheetData>
    <row r="1" customFormat="false" ht="23.8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</row>
    <row r="5" customFormat="false" ht="15" hidden="false" customHeight="false" outlineLevel="0" collapsed="false">
      <c r="A5" s="4" t="s">
        <v>5</v>
      </c>
      <c r="B5" s="4" t="s">
        <v>6</v>
      </c>
      <c r="C5" s="4" t="n">
        <f aca="false">COUNTA(족보!A2:A100)</f>
        <v>26</v>
      </c>
    </row>
    <row r="6" customFormat="false" ht="15" hidden="false" customHeight="false" outlineLevel="0" collapsed="false">
      <c r="A6" s="5" t="s">
        <v>7</v>
      </c>
      <c r="B6" s="5" t="s">
        <v>8</v>
      </c>
      <c r="C6" s="5" t="n">
        <f aca="false">COUNTA(사기주사위!A2:A100)</f>
        <v>13</v>
      </c>
    </row>
    <row r="7" customFormat="false" ht="15" hidden="false" customHeight="false" outlineLevel="0" collapsed="false">
      <c r="A7" s="4" t="s">
        <v>9</v>
      </c>
      <c r="B7" s="4" t="s">
        <v>10</v>
      </c>
      <c r="C7" s="4" t="n">
        <f aca="false">COUNTA(유물!A2:A100)</f>
        <v>6</v>
      </c>
    </row>
    <row r="8" customFormat="false" ht="15" hidden="false" customHeight="false" outlineLevel="0" collapsed="false">
      <c r="A8" s="5" t="s">
        <v>11</v>
      </c>
      <c r="B8" s="5" t="s">
        <v>12</v>
      </c>
      <c r="C8" s="5" t="n">
        <f aca="false">COUNTA(적!A3:A100)</f>
        <v>8</v>
      </c>
    </row>
    <row r="9" customFormat="false" ht="15" hidden="false" customHeight="false" outlineLevel="0" collapsed="false">
      <c r="A9" s="4" t="s">
        <v>13</v>
      </c>
      <c r="B9" s="4" t="s">
        <v>14</v>
      </c>
      <c r="C9" s="4" t="n">
        <f aca="false">COUNTA(적행동!A2:A200)</f>
        <v>28</v>
      </c>
    </row>
    <row r="11" customFormat="false" ht="15" hidden="false" customHeight="false" outlineLevel="0" collapsed="false">
      <c r="A11" s="6" t="s">
        <v>15</v>
      </c>
    </row>
    <row r="12" customFormat="false" ht="15" hidden="false" customHeight="false" outlineLevel="0" collapsed="false">
      <c r="A12" s="7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1"/>
    <col collapsed="false" customWidth="true" hidden="false" outlineLevel="0" max="3" min="3" style="0" width="15"/>
    <col collapsed="false" customWidth="true" hidden="false" outlineLevel="0" max="4" min="4" style="0" width="17"/>
    <col collapsed="false" customWidth="true" hidden="false" outlineLevel="0" max="5" min="5" style="0" width="26"/>
    <col collapsed="false" customWidth="true" hidden="false" outlineLevel="0" max="6" min="6" style="0" width="11"/>
    <col collapsed="false" customWidth="true" hidden="false" outlineLevel="0" max="7" min="7" style="0" width="40"/>
    <col collapsed="false" customWidth="true" hidden="false" outlineLevel="0" max="8" min="8" style="0" width="15"/>
    <col collapsed="false" customWidth="true" hidden="false" outlineLevel="0" max="9" min="9" style="0" width="7"/>
    <col collapsed="false" customWidth="true" hidden="false" outlineLevel="0" max="10" min="10" style="0" width="9"/>
    <col collapsed="false" customWidth="true" hidden="false" outlineLevel="0" max="11" min="11" style="0" width="18"/>
    <col collapsed="false" customWidth="true" hidden="false" outlineLevel="0" max="12" min="12" style="0" width="12"/>
  </cols>
  <sheetData>
    <row r="1" customFormat="false" ht="15" hidden="false" customHeight="false" outlineLevel="0" collapsed="false">
      <c r="A1" s="3" t="s">
        <v>17</v>
      </c>
      <c r="B1" s="3" t="s">
        <v>5</v>
      </c>
      <c r="C1" s="3" t="s">
        <v>18</v>
      </c>
      <c r="D1" s="3" t="s">
        <v>19</v>
      </c>
      <c r="E1" s="3" t="s">
        <v>20</v>
      </c>
      <c r="F1" s="3" t="s">
        <v>21</v>
      </c>
      <c r="G1" s="3" t="s">
        <v>22</v>
      </c>
      <c r="H1" s="3" t="s">
        <v>23</v>
      </c>
      <c r="I1" s="3" t="s">
        <v>24</v>
      </c>
      <c r="J1" s="8" t="s">
        <v>25</v>
      </c>
      <c r="K1" s="3" t="s">
        <v>26</v>
      </c>
      <c r="L1" s="3" t="s">
        <v>27</v>
      </c>
    </row>
    <row r="2" customFormat="false" ht="29.85" hidden="false" customHeight="false" outlineLevel="0" collapsed="false">
      <c r="A2" s="9" t="s">
        <v>28</v>
      </c>
      <c r="B2" s="4" t="s">
        <v>29</v>
      </c>
      <c r="C2" s="9" t="s">
        <v>30</v>
      </c>
      <c r="D2" s="10" t="s">
        <v>31</v>
      </c>
      <c r="E2" s="4" t="s">
        <v>32</v>
      </c>
      <c r="F2" s="9" t="s">
        <v>33</v>
      </c>
      <c r="G2" s="4" t="s">
        <v>34</v>
      </c>
      <c r="H2" s="4" t="s">
        <v>35</v>
      </c>
      <c r="I2" s="4" t="s">
        <v>36</v>
      </c>
      <c r="J2" s="9" t="s">
        <v>37</v>
      </c>
      <c r="K2" s="4" t="s">
        <v>38</v>
      </c>
      <c r="L2" s="9" t="s">
        <v>39</v>
      </c>
    </row>
    <row r="3" customFormat="false" ht="29.85" hidden="false" customHeight="false" outlineLevel="0" collapsed="false">
      <c r="A3" s="11" t="s">
        <v>28</v>
      </c>
      <c r="B3" s="5" t="s">
        <v>29</v>
      </c>
      <c r="C3" s="11" t="s">
        <v>40</v>
      </c>
      <c r="D3" s="12" t="s">
        <v>41</v>
      </c>
      <c r="E3" s="5" t="s">
        <v>42</v>
      </c>
      <c r="F3" s="13" t="s">
        <v>43</v>
      </c>
      <c r="G3" s="5" t="s">
        <v>34</v>
      </c>
      <c r="H3" s="5" t="s">
        <v>35</v>
      </c>
      <c r="I3" s="5" t="s">
        <v>36</v>
      </c>
      <c r="J3" s="11" t="s">
        <v>37</v>
      </c>
      <c r="K3" s="5" t="s">
        <v>38</v>
      </c>
      <c r="L3" s="11" t="s">
        <v>39</v>
      </c>
    </row>
    <row r="4" customFormat="false" ht="15" hidden="false" customHeight="false" outlineLevel="0" collapsed="false">
      <c r="A4" s="9" t="s">
        <v>44</v>
      </c>
      <c r="B4" s="4" t="s">
        <v>45</v>
      </c>
      <c r="C4" s="9" t="s">
        <v>46</v>
      </c>
      <c r="D4" s="10" t="s">
        <v>47</v>
      </c>
      <c r="E4" s="4" t="s">
        <v>42</v>
      </c>
      <c r="F4" s="9" t="s">
        <v>33</v>
      </c>
      <c r="G4" s="4" t="s">
        <v>48</v>
      </c>
      <c r="H4" s="9" t="s">
        <v>49</v>
      </c>
      <c r="I4" s="4" t="s">
        <v>36</v>
      </c>
      <c r="J4" s="9" t="s">
        <v>50</v>
      </c>
      <c r="K4" s="4" t="s">
        <v>38</v>
      </c>
      <c r="L4" s="9" t="s">
        <v>51</v>
      </c>
    </row>
    <row r="5" customFormat="false" ht="23.85" hidden="false" customHeight="false" outlineLevel="0" collapsed="false">
      <c r="A5" s="11" t="s">
        <v>44</v>
      </c>
      <c r="B5" s="5" t="s">
        <v>45</v>
      </c>
      <c r="C5" s="11" t="s">
        <v>52</v>
      </c>
      <c r="D5" s="12" t="s">
        <v>53</v>
      </c>
      <c r="E5" s="11" t="s">
        <v>54</v>
      </c>
      <c r="F5" s="13" t="s">
        <v>43</v>
      </c>
      <c r="G5" s="5" t="s">
        <v>48</v>
      </c>
      <c r="H5" s="11" t="s">
        <v>49</v>
      </c>
      <c r="I5" s="5" t="s">
        <v>36</v>
      </c>
      <c r="J5" s="11" t="s">
        <v>50</v>
      </c>
      <c r="K5" s="5" t="s">
        <v>38</v>
      </c>
      <c r="L5" s="11" t="s">
        <v>51</v>
      </c>
    </row>
    <row r="6" customFormat="false" ht="15" hidden="false" customHeight="false" outlineLevel="0" collapsed="false">
      <c r="A6" s="9" t="s">
        <v>55</v>
      </c>
      <c r="B6" s="4" t="s">
        <v>56</v>
      </c>
      <c r="C6" s="9" t="s">
        <v>57</v>
      </c>
      <c r="D6" s="10" t="s">
        <v>58</v>
      </c>
      <c r="E6" s="4" t="s">
        <v>59</v>
      </c>
      <c r="F6" s="9" t="s">
        <v>33</v>
      </c>
      <c r="G6" s="4" t="s">
        <v>60</v>
      </c>
      <c r="H6" s="9" t="s">
        <v>61</v>
      </c>
      <c r="I6" s="4" t="s">
        <v>36</v>
      </c>
      <c r="J6" s="9" t="s">
        <v>62</v>
      </c>
      <c r="K6" s="4" t="s">
        <v>38</v>
      </c>
      <c r="L6" s="9" t="s">
        <v>63</v>
      </c>
    </row>
    <row r="7" customFormat="false" ht="23.85" hidden="false" customHeight="false" outlineLevel="0" collapsed="false">
      <c r="A7" s="11" t="s">
        <v>55</v>
      </c>
      <c r="B7" s="5" t="s">
        <v>56</v>
      </c>
      <c r="C7" s="11" t="s">
        <v>64</v>
      </c>
      <c r="D7" s="12" t="s">
        <v>65</v>
      </c>
      <c r="E7" s="5" t="s">
        <v>66</v>
      </c>
      <c r="F7" s="13" t="s">
        <v>43</v>
      </c>
      <c r="G7" s="5" t="s">
        <v>60</v>
      </c>
      <c r="H7" s="11" t="s">
        <v>61</v>
      </c>
      <c r="I7" s="5" t="s">
        <v>36</v>
      </c>
      <c r="J7" s="11" t="s">
        <v>62</v>
      </c>
      <c r="K7" s="5" t="s">
        <v>38</v>
      </c>
      <c r="L7" s="11" t="s">
        <v>63</v>
      </c>
    </row>
    <row r="8" customFormat="false" ht="15" hidden="false" customHeight="false" outlineLevel="0" collapsed="false">
      <c r="A8" s="9" t="s">
        <v>67</v>
      </c>
      <c r="B8" s="4" t="s">
        <v>68</v>
      </c>
      <c r="C8" s="9" t="s">
        <v>69</v>
      </c>
      <c r="D8" s="10" t="s">
        <v>70</v>
      </c>
      <c r="E8" s="9" t="s">
        <v>71</v>
      </c>
      <c r="F8" s="9" t="s">
        <v>33</v>
      </c>
      <c r="G8" s="4" t="s">
        <v>72</v>
      </c>
      <c r="H8" s="9" t="s">
        <v>73</v>
      </c>
      <c r="I8" s="4" t="s">
        <v>36</v>
      </c>
      <c r="J8" s="9" t="s">
        <v>74</v>
      </c>
      <c r="K8" s="4" t="s">
        <v>38</v>
      </c>
      <c r="L8" s="9" t="s">
        <v>75</v>
      </c>
    </row>
    <row r="9" customFormat="false" ht="23.85" hidden="false" customHeight="false" outlineLevel="0" collapsed="false">
      <c r="A9" s="11" t="s">
        <v>67</v>
      </c>
      <c r="B9" s="5" t="s">
        <v>68</v>
      </c>
      <c r="C9" s="11" t="s">
        <v>76</v>
      </c>
      <c r="D9" s="12" t="s">
        <v>77</v>
      </c>
      <c r="E9" s="11" t="s">
        <v>78</v>
      </c>
      <c r="F9" s="13" t="s">
        <v>43</v>
      </c>
      <c r="G9" s="5" t="s">
        <v>72</v>
      </c>
      <c r="H9" s="11" t="s">
        <v>73</v>
      </c>
      <c r="I9" s="5" t="s">
        <v>36</v>
      </c>
      <c r="J9" s="11" t="s">
        <v>74</v>
      </c>
      <c r="K9" s="5" t="s">
        <v>38</v>
      </c>
      <c r="L9" s="11" t="s">
        <v>75</v>
      </c>
    </row>
    <row r="10" customFormat="false" ht="15" hidden="false" customHeight="false" outlineLevel="0" collapsed="false">
      <c r="A10" s="9" t="s">
        <v>79</v>
      </c>
      <c r="B10" s="4" t="s">
        <v>80</v>
      </c>
      <c r="C10" s="9" t="s">
        <v>81</v>
      </c>
      <c r="D10" s="10" t="s">
        <v>82</v>
      </c>
      <c r="E10" s="4" t="s">
        <v>83</v>
      </c>
      <c r="F10" s="9" t="s">
        <v>33</v>
      </c>
      <c r="G10" s="4" t="s">
        <v>84</v>
      </c>
      <c r="H10" s="9" t="s">
        <v>85</v>
      </c>
      <c r="I10" s="4" t="s">
        <v>36</v>
      </c>
      <c r="J10" s="9" t="s">
        <v>86</v>
      </c>
      <c r="K10" s="4" t="s">
        <v>38</v>
      </c>
      <c r="L10" s="9" t="s">
        <v>87</v>
      </c>
    </row>
    <row r="11" customFormat="false" ht="23.85" hidden="false" customHeight="false" outlineLevel="0" collapsed="false">
      <c r="A11" s="11" t="s">
        <v>79</v>
      </c>
      <c r="B11" s="5" t="s">
        <v>80</v>
      </c>
      <c r="C11" s="11" t="s">
        <v>88</v>
      </c>
      <c r="D11" s="12" t="s">
        <v>89</v>
      </c>
      <c r="E11" s="5" t="s">
        <v>90</v>
      </c>
      <c r="F11" s="13" t="s">
        <v>43</v>
      </c>
      <c r="G11" s="5" t="s">
        <v>84</v>
      </c>
      <c r="H11" s="11" t="s">
        <v>85</v>
      </c>
      <c r="I11" s="5" t="s">
        <v>36</v>
      </c>
      <c r="J11" s="11" t="s">
        <v>86</v>
      </c>
      <c r="K11" s="5" t="s">
        <v>38</v>
      </c>
      <c r="L11" s="11" t="s">
        <v>87</v>
      </c>
    </row>
    <row r="12" customFormat="false" ht="15" hidden="false" customHeight="false" outlineLevel="0" collapsed="false">
      <c r="A12" s="9" t="s">
        <v>91</v>
      </c>
      <c r="B12" s="4" t="s">
        <v>92</v>
      </c>
      <c r="C12" s="9" t="s">
        <v>93</v>
      </c>
      <c r="D12" s="10" t="s">
        <v>94</v>
      </c>
      <c r="E12" s="4" t="s">
        <v>95</v>
      </c>
      <c r="F12" s="9" t="s">
        <v>33</v>
      </c>
      <c r="G12" s="4" t="s">
        <v>96</v>
      </c>
      <c r="H12" s="9" t="s">
        <v>97</v>
      </c>
      <c r="I12" s="4" t="s">
        <v>36</v>
      </c>
      <c r="J12" s="9" t="s">
        <v>98</v>
      </c>
      <c r="K12" s="4" t="s">
        <v>38</v>
      </c>
      <c r="L12" s="9" t="s">
        <v>99</v>
      </c>
    </row>
    <row r="13" customFormat="false" ht="23.85" hidden="false" customHeight="false" outlineLevel="0" collapsed="false">
      <c r="A13" s="11" t="s">
        <v>91</v>
      </c>
      <c r="B13" s="5" t="s">
        <v>92</v>
      </c>
      <c r="C13" s="11" t="s">
        <v>100</v>
      </c>
      <c r="D13" s="12" t="s">
        <v>101</v>
      </c>
      <c r="E13" s="5" t="s">
        <v>102</v>
      </c>
      <c r="F13" s="13" t="s">
        <v>43</v>
      </c>
      <c r="G13" s="5" t="s">
        <v>96</v>
      </c>
      <c r="H13" s="11" t="s">
        <v>97</v>
      </c>
      <c r="I13" s="5" t="s">
        <v>36</v>
      </c>
      <c r="J13" s="11" t="s">
        <v>98</v>
      </c>
      <c r="K13" s="5" t="s">
        <v>38</v>
      </c>
      <c r="L13" s="11" t="s">
        <v>99</v>
      </c>
    </row>
    <row r="14" customFormat="false" ht="15" hidden="false" customHeight="false" outlineLevel="0" collapsed="false">
      <c r="A14" s="9" t="s">
        <v>103</v>
      </c>
      <c r="B14" s="4" t="s">
        <v>104</v>
      </c>
      <c r="C14" s="9" t="s">
        <v>105</v>
      </c>
      <c r="D14" s="10" t="s">
        <v>106</v>
      </c>
      <c r="E14" s="4" t="s">
        <v>107</v>
      </c>
      <c r="F14" s="9" t="s">
        <v>33</v>
      </c>
      <c r="G14" s="4" t="s">
        <v>108</v>
      </c>
      <c r="H14" s="9" t="s">
        <v>109</v>
      </c>
      <c r="I14" s="4" t="s">
        <v>36</v>
      </c>
      <c r="J14" s="9" t="s">
        <v>110</v>
      </c>
      <c r="K14" s="4" t="s">
        <v>38</v>
      </c>
      <c r="L14" s="9" t="s">
        <v>111</v>
      </c>
    </row>
    <row r="15" customFormat="false" ht="23.85" hidden="false" customHeight="false" outlineLevel="0" collapsed="false">
      <c r="A15" s="11" t="s">
        <v>103</v>
      </c>
      <c r="B15" s="5" t="s">
        <v>104</v>
      </c>
      <c r="C15" s="11" t="s">
        <v>112</v>
      </c>
      <c r="D15" s="12" t="s">
        <v>113</v>
      </c>
      <c r="E15" s="5" t="s">
        <v>114</v>
      </c>
      <c r="F15" s="13" t="s">
        <v>43</v>
      </c>
      <c r="G15" s="5" t="s">
        <v>108</v>
      </c>
      <c r="H15" s="11" t="s">
        <v>109</v>
      </c>
      <c r="I15" s="5" t="s">
        <v>36</v>
      </c>
      <c r="J15" s="11" t="s">
        <v>110</v>
      </c>
      <c r="K15" s="5" t="s">
        <v>38</v>
      </c>
      <c r="L15" s="11" t="s">
        <v>111</v>
      </c>
    </row>
    <row r="16" customFormat="false" ht="29.85" hidden="false" customHeight="false" outlineLevel="0" collapsed="false">
      <c r="A16" s="9" t="s">
        <v>115</v>
      </c>
      <c r="B16" s="4" t="s">
        <v>116</v>
      </c>
      <c r="C16" s="9" t="s">
        <v>117</v>
      </c>
      <c r="D16" s="10" t="s">
        <v>118</v>
      </c>
      <c r="E16" s="4" t="s">
        <v>119</v>
      </c>
      <c r="F16" s="9" t="s">
        <v>33</v>
      </c>
      <c r="G16" s="4" t="s">
        <v>120</v>
      </c>
      <c r="H16" s="4" t="s">
        <v>121</v>
      </c>
      <c r="I16" s="4" t="s">
        <v>36</v>
      </c>
      <c r="J16" s="9" t="s">
        <v>122</v>
      </c>
      <c r="K16" s="9" t="s">
        <v>123</v>
      </c>
      <c r="L16" s="9" t="s">
        <v>87</v>
      </c>
    </row>
    <row r="17" customFormat="false" ht="29.85" hidden="false" customHeight="false" outlineLevel="0" collapsed="false">
      <c r="A17" s="11" t="s">
        <v>115</v>
      </c>
      <c r="B17" s="5" t="s">
        <v>116</v>
      </c>
      <c r="C17" s="11" t="s">
        <v>124</v>
      </c>
      <c r="D17" s="12" t="s">
        <v>125</v>
      </c>
      <c r="E17" s="5" t="s">
        <v>126</v>
      </c>
      <c r="F17" s="13" t="s">
        <v>43</v>
      </c>
      <c r="G17" s="5" t="s">
        <v>120</v>
      </c>
      <c r="H17" s="5" t="s">
        <v>121</v>
      </c>
      <c r="I17" s="5" t="s">
        <v>36</v>
      </c>
      <c r="J17" s="11" t="s">
        <v>122</v>
      </c>
      <c r="K17" s="11" t="s">
        <v>123</v>
      </c>
      <c r="L17" s="11" t="s">
        <v>87</v>
      </c>
    </row>
    <row r="18" customFormat="false" ht="29.85" hidden="false" customHeight="false" outlineLevel="0" collapsed="false">
      <c r="A18" s="9" t="s">
        <v>127</v>
      </c>
      <c r="B18" s="4" t="s">
        <v>128</v>
      </c>
      <c r="C18" s="9" t="s">
        <v>129</v>
      </c>
      <c r="D18" s="10" t="s">
        <v>130</v>
      </c>
      <c r="E18" s="4" t="s">
        <v>131</v>
      </c>
      <c r="F18" s="14" t="s">
        <v>132</v>
      </c>
      <c r="G18" s="4" t="s">
        <v>133</v>
      </c>
      <c r="H18" s="4" t="s">
        <v>121</v>
      </c>
      <c r="I18" s="4" t="s">
        <v>36</v>
      </c>
      <c r="J18" s="9" t="s">
        <v>134</v>
      </c>
      <c r="K18" s="4" t="s">
        <v>135</v>
      </c>
      <c r="L18" s="9" t="s">
        <v>136</v>
      </c>
    </row>
    <row r="19" customFormat="false" ht="29.85" hidden="false" customHeight="false" outlineLevel="0" collapsed="false">
      <c r="A19" s="11" t="s">
        <v>127</v>
      </c>
      <c r="B19" s="5" t="s">
        <v>128</v>
      </c>
      <c r="C19" s="11" t="s">
        <v>137</v>
      </c>
      <c r="D19" s="12" t="s">
        <v>138</v>
      </c>
      <c r="E19" s="5" t="s">
        <v>139</v>
      </c>
      <c r="F19" s="13" t="s">
        <v>43</v>
      </c>
      <c r="G19" s="5" t="s">
        <v>133</v>
      </c>
      <c r="H19" s="5" t="s">
        <v>121</v>
      </c>
      <c r="I19" s="5" t="s">
        <v>36</v>
      </c>
      <c r="J19" s="11" t="s">
        <v>134</v>
      </c>
      <c r="K19" s="5" t="s">
        <v>135</v>
      </c>
      <c r="L19" s="11" t="s">
        <v>136</v>
      </c>
    </row>
    <row r="20" customFormat="false" ht="29.85" hidden="false" customHeight="false" outlineLevel="0" collapsed="false">
      <c r="A20" s="9" t="s">
        <v>140</v>
      </c>
      <c r="B20" s="4" t="s">
        <v>141</v>
      </c>
      <c r="C20" s="9" t="s">
        <v>142</v>
      </c>
      <c r="D20" s="10" t="s">
        <v>143</v>
      </c>
      <c r="E20" s="4" t="s">
        <v>144</v>
      </c>
      <c r="F20" s="15" t="s">
        <v>43</v>
      </c>
      <c r="G20" s="4" t="s">
        <v>145</v>
      </c>
      <c r="H20" s="9" t="s">
        <v>146</v>
      </c>
      <c r="I20" s="4" t="s">
        <v>36</v>
      </c>
      <c r="J20" s="9" t="s">
        <v>147</v>
      </c>
      <c r="K20" s="4" t="s">
        <v>148</v>
      </c>
      <c r="L20" s="9" t="s">
        <v>149</v>
      </c>
    </row>
    <row r="21" customFormat="false" ht="29.85" hidden="false" customHeight="false" outlineLevel="0" collapsed="false">
      <c r="A21" s="11" t="s">
        <v>140</v>
      </c>
      <c r="B21" s="5" t="s">
        <v>141</v>
      </c>
      <c r="C21" s="11" t="s">
        <v>150</v>
      </c>
      <c r="D21" s="12" t="s">
        <v>151</v>
      </c>
      <c r="E21" s="11" t="s">
        <v>152</v>
      </c>
      <c r="F21" s="16" t="s">
        <v>132</v>
      </c>
      <c r="G21" s="5" t="s">
        <v>145</v>
      </c>
      <c r="H21" s="11" t="s">
        <v>146</v>
      </c>
      <c r="I21" s="5" t="s">
        <v>36</v>
      </c>
      <c r="J21" s="11" t="s">
        <v>147</v>
      </c>
      <c r="K21" s="5" t="s">
        <v>148</v>
      </c>
      <c r="L21" s="11" t="s">
        <v>149</v>
      </c>
    </row>
    <row r="22" customFormat="false" ht="29.85" hidden="false" customHeight="false" outlineLevel="0" collapsed="false">
      <c r="A22" s="9" t="s">
        <v>153</v>
      </c>
      <c r="B22" s="4" t="s">
        <v>154</v>
      </c>
      <c r="C22" s="9" t="s">
        <v>155</v>
      </c>
      <c r="D22" s="10" t="s">
        <v>156</v>
      </c>
      <c r="E22" s="4" t="s">
        <v>157</v>
      </c>
      <c r="F22" s="15" t="s">
        <v>43</v>
      </c>
      <c r="G22" s="4" t="s">
        <v>158</v>
      </c>
      <c r="H22" s="9" t="s">
        <v>159</v>
      </c>
      <c r="I22" s="4" t="s">
        <v>160</v>
      </c>
      <c r="J22" s="9" t="s">
        <v>161</v>
      </c>
      <c r="K22" s="4" t="s">
        <v>162</v>
      </c>
      <c r="L22" s="9" t="s">
        <v>163</v>
      </c>
    </row>
    <row r="23" customFormat="false" ht="29.85" hidden="false" customHeight="false" outlineLevel="0" collapsed="false">
      <c r="A23" s="11" t="s">
        <v>153</v>
      </c>
      <c r="B23" s="5" t="s">
        <v>154</v>
      </c>
      <c r="C23" s="11" t="s">
        <v>164</v>
      </c>
      <c r="D23" s="12" t="s">
        <v>165</v>
      </c>
      <c r="E23" s="5" t="s">
        <v>166</v>
      </c>
      <c r="F23" s="11" t="s">
        <v>33</v>
      </c>
      <c r="G23" s="5" t="s">
        <v>158</v>
      </c>
      <c r="H23" s="11" t="s">
        <v>159</v>
      </c>
      <c r="I23" s="5" t="s">
        <v>160</v>
      </c>
      <c r="J23" s="11" t="s">
        <v>161</v>
      </c>
      <c r="K23" s="5" t="s">
        <v>162</v>
      </c>
      <c r="L23" s="11" t="s">
        <v>163</v>
      </c>
    </row>
    <row r="24" customFormat="false" ht="29.85" hidden="false" customHeight="false" outlineLevel="0" collapsed="false">
      <c r="A24" s="9" t="s">
        <v>167</v>
      </c>
      <c r="B24" s="4" t="s">
        <v>168</v>
      </c>
      <c r="C24" s="9" t="s">
        <v>169</v>
      </c>
      <c r="D24" s="10" t="s">
        <v>170</v>
      </c>
      <c r="E24" s="4" t="s">
        <v>171</v>
      </c>
      <c r="F24" s="14" t="s">
        <v>132</v>
      </c>
      <c r="G24" s="4" t="s">
        <v>172</v>
      </c>
      <c r="H24" s="9" t="s">
        <v>173</v>
      </c>
      <c r="I24" s="4" t="s">
        <v>160</v>
      </c>
      <c r="J24" s="9" t="s">
        <v>174</v>
      </c>
      <c r="K24" s="4" t="s">
        <v>175</v>
      </c>
      <c r="L24" s="9" t="s">
        <v>176</v>
      </c>
    </row>
    <row r="25" customFormat="false" ht="29.85" hidden="false" customHeight="false" outlineLevel="0" collapsed="false">
      <c r="A25" s="11" t="s">
        <v>167</v>
      </c>
      <c r="B25" s="5" t="s">
        <v>168</v>
      </c>
      <c r="C25" s="11" t="s">
        <v>177</v>
      </c>
      <c r="D25" s="12" t="s">
        <v>178</v>
      </c>
      <c r="E25" s="5" t="s">
        <v>179</v>
      </c>
      <c r="F25" s="17" t="s">
        <v>180</v>
      </c>
      <c r="G25" s="5" t="s">
        <v>172</v>
      </c>
      <c r="H25" s="11" t="s">
        <v>173</v>
      </c>
      <c r="I25" s="5" t="s">
        <v>160</v>
      </c>
      <c r="J25" s="11" t="s">
        <v>174</v>
      </c>
      <c r="K25" s="5" t="s">
        <v>175</v>
      </c>
      <c r="L25" s="11" t="s">
        <v>176</v>
      </c>
    </row>
    <row r="26" customFormat="false" ht="15" hidden="false" customHeight="false" outlineLevel="0" collapsed="false">
      <c r="A26" s="9" t="s">
        <v>181</v>
      </c>
      <c r="B26" s="4" t="s">
        <v>182</v>
      </c>
      <c r="C26" s="9" t="s">
        <v>183</v>
      </c>
      <c r="D26" s="10" t="s">
        <v>184</v>
      </c>
      <c r="E26" s="4" t="s">
        <v>185</v>
      </c>
      <c r="F26" s="18" t="s">
        <v>180</v>
      </c>
      <c r="G26" s="4" t="s">
        <v>186</v>
      </c>
      <c r="H26" s="9" t="s">
        <v>187</v>
      </c>
      <c r="I26" s="4" t="s">
        <v>36</v>
      </c>
      <c r="J26" s="9" t="s">
        <v>188</v>
      </c>
      <c r="K26" s="4" t="s">
        <v>189</v>
      </c>
      <c r="L26" s="9" t="s">
        <v>190</v>
      </c>
    </row>
    <row r="27" customFormat="false" ht="15" hidden="false" customHeight="false" outlineLevel="0" collapsed="false">
      <c r="A27" s="11" t="s">
        <v>181</v>
      </c>
      <c r="B27" s="5" t="s">
        <v>182</v>
      </c>
      <c r="C27" s="11" t="s">
        <v>191</v>
      </c>
      <c r="D27" s="12" t="s">
        <v>192</v>
      </c>
      <c r="E27" s="5" t="s">
        <v>193</v>
      </c>
      <c r="F27" s="17" t="s">
        <v>180</v>
      </c>
      <c r="G27" s="5" t="s">
        <v>186</v>
      </c>
      <c r="H27" s="11" t="s">
        <v>187</v>
      </c>
      <c r="I27" s="5" t="s">
        <v>36</v>
      </c>
      <c r="J27" s="11" t="s">
        <v>188</v>
      </c>
      <c r="K27" s="5" t="s">
        <v>189</v>
      </c>
      <c r="L27" s="11" t="s">
        <v>190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5"/>
    <col collapsed="false" customWidth="true" hidden="false" outlineLevel="0" max="3" min="3" style="0" width="18"/>
    <col collapsed="false" customWidth="true" hidden="false" outlineLevel="0" max="4" min="4" style="0" width="17"/>
    <col collapsed="false" customWidth="true" hidden="false" outlineLevel="0" max="5" min="5" style="0" width="18"/>
    <col collapsed="false" customWidth="true" hidden="false" outlineLevel="0" max="6" min="6" style="0" width="11"/>
    <col collapsed="false" customWidth="true" hidden="false" outlineLevel="0" max="7" min="7" style="0" width="40"/>
  </cols>
  <sheetData>
    <row r="1" customFormat="false" ht="15" hidden="false" customHeight="false" outlineLevel="0" collapsed="false">
      <c r="A1" s="8" t="s">
        <v>194</v>
      </c>
      <c r="B1" s="3" t="s">
        <v>195</v>
      </c>
      <c r="C1" s="3" t="s">
        <v>196</v>
      </c>
      <c r="D1" s="3" t="s">
        <v>197</v>
      </c>
      <c r="E1" s="3" t="s">
        <v>198</v>
      </c>
      <c r="F1" s="3" t="s">
        <v>199</v>
      </c>
      <c r="G1" s="3" t="s">
        <v>200</v>
      </c>
    </row>
    <row r="2" customFormat="false" ht="15" hidden="false" customHeight="false" outlineLevel="0" collapsed="false">
      <c r="A2" s="9" t="s">
        <v>201</v>
      </c>
      <c r="B2" s="10" t="s">
        <v>202</v>
      </c>
      <c r="C2" s="9" t="s">
        <v>203</v>
      </c>
      <c r="D2" s="9" t="s">
        <v>204</v>
      </c>
      <c r="E2" s="9" t="s">
        <v>204</v>
      </c>
      <c r="F2" s="9" t="s">
        <v>33</v>
      </c>
      <c r="G2" s="4" t="s">
        <v>205</v>
      </c>
    </row>
    <row r="3" customFormat="false" ht="23.85" hidden="false" customHeight="false" outlineLevel="0" collapsed="false">
      <c r="A3" s="11" t="s">
        <v>206</v>
      </c>
      <c r="B3" s="12" t="s">
        <v>207</v>
      </c>
      <c r="C3" s="11" t="s">
        <v>208</v>
      </c>
      <c r="D3" s="5" t="s">
        <v>209</v>
      </c>
      <c r="E3" s="11" t="s">
        <v>204</v>
      </c>
      <c r="F3" s="13" t="s">
        <v>43</v>
      </c>
      <c r="G3" s="11" t="s">
        <v>210</v>
      </c>
    </row>
    <row r="4" customFormat="false" ht="23.85" hidden="false" customHeight="false" outlineLevel="0" collapsed="false">
      <c r="A4" s="9" t="s">
        <v>211</v>
      </c>
      <c r="B4" s="10" t="s">
        <v>212</v>
      </c>
      <c r="C4" s="9" t="s">
        <v>213</v>
      </c>
      <c r="D4" s="4" t="s">
        <v>209</v>
      </c>
      <c r="E4" s="9" t="s">
        <v>204</v>
      </c>
      <c r="F4" s="15" t="s">
        <v>43</v>
      </c>
      <c r="G4" s="4" t="s">
        <v>214</v>
      </c>
    </row>
    <row r="5" customFormat="false" ht="23.85" hidden="false" customHeight="false" outlineLevel="0" collapsed="false">
      <c r="A5" s="11" t="s">
        <v>215</v>
      </c>
      <c r="B5" s="12" t="s">
        <v>216</v>
      </c>
      <c r="C5" s="11" t="s">
        <v>217</v>
      </c>
      <c r="D5" s="5" t="s">
        <v>209</v>
      </c>
      <c r="E5" s="11" t="s">
        <v>204</v>
      </c>
      <c r="F5" s="13" t="s">
        <v>43</v>
      </c>
      <c r="G5" s="5" t="s">
        <v>218</v>
      </c>
    </row>
    <row r="6" customFormat="false" ht="23.85" hidden="false" customHeight="false" outlineLevel="0" collapsed="false">
      <c r="A6" s="9" t="s">
        <v>219</v>
      </c>
      <c r="B6" s="10" t="s">
        <v>220</v>
      </c>
      <c r="C6" s="9" t="s">
        <v>221</v>
      </c>
      <c r="D6" s="4" t="s">
        <v>209</v>
      </c>
      <c r="E6" s="9" t="s">
        <v>204</v>
      </c>
      <c r="F6" s="15" t="s">
        <v>43</v>
      </c>
      <c r="G6" s="4" t="s">
        <v>222</v>
      </c>
    </row>
    <row r="7" customFormat="false" ht="15" hidden="false" customHeight="false" outlineLevel="0" collapsed="false">
      <c r="A7" s="11" t="s">
        <v>223</v>
      </c>
      <c r="B7" s="12" t="s">
        <v>224</v>
      </c>
      <c r="C7" s="11" t="s">
        <v>225</v>
      </c>
      <c r="D7" s="5" t="s">
        <v>209</v>
      </c>
      <c r="E7" s="11" t="s">
        <v>204</v>
      </c>
      <c r="F7" s="16" t="s">
        <v>132</v>
      </c>
      <c r="G7" s="5" t="s">
        <v>226</v>
      </c>
    </row>
    <row r="8" customFormat="false" ht="15" hidden="false" customHeight="false" outlineLevel="0" collapsed="false">
      <c r="A8" s="9" t="s">
        <v>227</v>
      </c>
      <c r="B8" s="10" t="s">
        <v>228</v>
      </c>
      <c r="C8" s="9" t="s">
        <v>203</v>
      </c>
      <c r="D8" s="4" t="s">
        <v>229</v>
      </c>
      <c r="E8" s="4" t="s">
        <v>230</v>
      </c>
      <c r="F8" s="18" t="s">
        <v>180</v>
      </c>
      <c r="G8" s="4" t="s">
        <v>231</v>
      </c>
    </row>
    <row r="9" customFormat="false" ht="15" hidden="false" customHeight="false" outlineLevel="0" collapsed="false">
      <c r="A9" s="11" t="s">
        <v>232</v>
      </c>
      <c r="B9" s="12" t="s">
        <v>233</v>
      </c>
      <c r="C9" s="11" t="s">
        <v>234</v>
      </c>
      <c r="D9" s="5" t="s">
        <v>229</v>
      </c>
      <c r="E9" s="5" t="s">
        <v>235</v>
      </c>
      <c r="F9" s="16" t="s">
        <v>132</v>
      </c>
      <c r="G9" s="5" t="s">
        <v>236</v>
      </c>
    </row>
    <row r="10" customFormat="false" ht="15" hidden="false" customHeight="false" outlineLevel="0" collapsed="false">
      <c r="A10" s="9" t="s">
        <v>237</v>
      </c>
      <c r="B10" s="10" t="s">
        <v>238</v>
      </c>
      <c r="C10" s="9" t="s">
        <v>203</v>
      </c>
      <c r="D10" s="4" t="s">
        <v>229</v>
      </c>
      <c r="E10" s="9" t="s">
        <v>239</v>
      </c>
      <c r="F10" s="14" t="s">
        <v>132</v>
      </c>
      <c r="G10" s="4" t="s">
        <v>240</v>
      </c>
    </row>
    <row r="11" customFormat="false" ht="29.85" hidden="false" customHeight="false" outlineLevel="0" collapsed="false">
      <c r="A11" s="11" t="s">
        <v>241</v>
      </c>
      <c r="B11" s="12" t="s">
        <v>242</v>
      </c>
      <c r="C11" s="11" t="s">
        <v>243</v>
      </c>
      <c r="D11" s="5" t="s">
        <v>244</v>
      </c>
      <c r="E11" s="5" t="s">
        <v>245</v>
      </c>
      <c r="F11" s="11" t="s">
        <v>33</v>
      </c>
      <c r="G11" s="5" t="s">
        <v>246</v>
      </c>
    </row>
    <row r="12" customFormat="false" ht="23.85" hidden="false" customHeight="false" outlineLevel="0" collapsed="false">
      <c r="A12" s="9" t="s">
        <v>247</v>
      </c>
      <c r="B12" s="10" t="s">
        <v>248</v>
      </c>
      <c r="C12" s="9" t="s">
        <v>249</v>
      </c>
      <c r="D12" s="4" t="s">
        <v>244</v>
      </c>
      <c r="E12" s="9" t="s">
        <v>250</v>
      </c>
      <c r="F12" s="15" t="s">
        <v>43</v>
      </c>
      <c r="G12" s="4" t="s">
        <v>251</v>
      </c>
    </row>
    <row r="13" customFormat="false" ht="26.85" hidden="false" customHeight="false" outlineLevel="0" collapsed="false">
      <c r="A13" s="11" t="s">
        <v>252</v>
      </c>
      <c r="B13" s="12" t="s">
        <v>253</v>
      </c>
      <c r="C13" s="11" t="s">
        <v>254</v>
      </c>
      <c r="D13" s="5" t="s">
        <v>255</v>
      </c>
      <c r="E13" s="5" t="s">
        <v>256</v>
      </c>
      <c r="F13" s="16" t="s">
        <v>132</v>
      </c>
      <c r="G13" s="5" t="s">
        <v>257</v>
      </c>
    </row>
    <row r="14" customFormat="false" ht="23.85" hidden="false" customHeight="false" outlineLevel="0" collapsed="false">
      <c r="A14" s="9" t="s">
        <v>258</v>
      </c>
      <c r="B14" s="10" t="s">
        <v>259</v>
      </c>
      <c r="C14" s="9" t="s">
        <v>260</v>
      </c>
      <c r="D14" s="4" t="s">
        <v>255</v>
      </c>
      <c r="E14" s="4" t="s">
        <v>261</v>
      </c>
      <c r="F14" s="15" t="s">
        <v>43</v>
      </c>
      <c r="G14" s="4" t="s">
        <v>262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2"/>
    <col collapsed="false" customWidth="true" hidden="false" outlineLevel="0" max="4" min="4" style="0" width="20"/>
    <col collapsed="false" customWidth="true" hidden="false" outlineLevel="0" max="5" min="5" style="0" width="24"/>
    <col collapsed="false" customWidth="true" hidden="false" outlineLevel="0" max="6" min="6" style="0" width="11"/>
  </cols>
  <sheetData>
    <row r="1" customFormat="false" ht="15" hidden="false" customHeight="false" outlineLevel="0" collapsed="false">
      <c r="A1" s="8" t="s">
        <v>194</v>
      </c>
      <c r="B1" s="3" t="s">
        <v>195</v>
      </c>
      <c r="C1" s="3" t="s">
        <v>198</v>
      </c>
      <c r="D1" s="3" t="s">
        <v>263</v>
      </c>
      <c r="E1" s="3" t="s">
        <v>264</v>
      </c>
      <c r="F1" s="3" t="s">
        <v>199</v>
      </c>
    </row>
    <row r="2" customFormat="false" ht="15" hidden="false" customHeight="false" outlineLevel="0" collapsed="false">
      <c r="A2" s="9" t="s">
        <v>265</v>
      </c>
      <c r="B2" s="10" t="s">
        <v>266</v>
      </c>
      <c r="C2" s="4" t="s">
        <v>267</v>
      </c>
      <c r="D2" s="9" t="s">
        <v>268</v>
      </c>
      <c r="E2" s="9" t="s">
        <v>269</v>
      </c>
      <c r="F2" s="18" t="s">
        <v>180</v>
      </c>
    </row>
    <row r="3" customFormat="false" ht="15" hidden="false" customHeight="false" outlineLevel="0" collapsed="false">
      <c r="A3" s="11" t="s">
        <v>270</v>
      </c>
      <c r="B3" s="12" t="s">
        <v>271</v>
      </c>
      <c r="C3" s="5" t="s">
        <v>272</v>
      </c>
      <c r="D3" s="11" t="s">
        <v>273</v>
      </c>
      <c r="E3" s="11" t="s">
        <v>274</v>
      </c>
      <c r="F3" s="16" t="s">
        <v>132</v>
      </c>
    </row>
    <row r="4" customFormat="false" ht="23.85" hidden="false" customHeight="false" outlineLevel="0" collapsed="false">
      <c r="A4" s="9" t="s">
        <v>275</v>
      </c>
      <c r="B4" s="10" t="s">
        <v>276</v>
      </c>
      <c r="C4" s="4" t="s">
        <v>277</v>
      </c>
      <c r="D4" s="9" t="s">
        <v>278</v>
      </c>
      <c r="E4" s="9" t="s">
        <v>279</v>
      </c>
      <c r="F4" s="15" t="s">
        <v>43</v>
      </c>
    </row>
    <row r="5" customFormat="false" ht="15" hidden="false" customHeight="false" outlineLevel="0" collapsed="false">
      <c r="A5" s="11" t="s">
        <v>280</v>
      </c>
      <c r="B5" s="12" t="s">
        <v>281</v>
      </c>
      <c r="C5" s="5" t="s">
        <v>282</v>
      </c>
      <c r="D5" s="11" t="s">
        <v>283</v>
      </c>
      <c r="E5" s="11" t="s">
        <v>284</v>
      </c>
      <c r="F5" s="11" t="s">
        <v>33</v>
      </c>
    </row>
    <row r="6" customFormat="false" ht="15" hidden="false" customHeight="false" outlineLevel="0" collapsed="false">
      <c r="A6" s="9" t="s">
        <v>285</v>
      </c>
      <c r="B6" s="10" t="s">
        <v>286</v>
      </c>
      <c r="C6" s="4" t="s">
        <v>287</v>
      </c>
      <c r="D6" s="9" t="s">
        <v>288</v>
      </c>
      <c r="E6" s="9" t="s">
        <v>289</v>
      </c>
      <c r="F6" s="9" t="s">
        <v>33</v>
      </c>
    </row>
    <row r="7" customFormat="false" ht="23.85" hidden="false" customHeight="false" outlineLevel="0" collapsed="false">
      <c r="A7" s="11" t="s">
        <v>290</v>
      </c>
      <c r="B7" s="12" t="s">
        <v>291</v>
      </c>
      <c r="C7" s="5" t="s">
        <v>292</v>
      </c>
      <c r="D7" s="11" t="s">
        <v>293</v>
      </c>
      <c r="E7" s="11" t="s">
        <v>294</v>
      </c>
      <c r="F7" s="13" t="s">
        <v>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5"/>
    <col collapsed="false" customWidth="true" hidden="false" outlineLevel="0" max="3" min="3" style="0" width="8"/>
    <col collapsed="false" customWidth="true" hidden="false" outlineLevel="0" max="4" min="4" style="0" width="13"/>
    <col collapsed="false" customWidth="true" hidden="false" outlineLevel="0" max="5" min="5" style="0" width="16"/>
    <col collapsed="false" customWidth="true" hidden="false" outlineLevel="0" max="6" min="6" style="0" width="8"/>
    <col collapsed="false" customWidth="true" hidden="false" outlineLevel="0" max="7" min="7" style="0" width="58"/>
    <col collapsed="false" customWidth="true" hidden="false" outlineLevel="0" max="8" min="8" style="0" width="8"/>
  </cols>
  <sheetData>
    <row r="1" customFormat="false" ht="15" hidden="false" customHeight="false" outlineLevel="0" collapsed="false">
      <c r="A1" s="19" t="s">
        <v>295</v>
      </c>
      <c r="B1" s="20" t="n">
        <v>0.1</v>
      </c>
      <c r="C1" s="21" t="s">
        <v>296</v>
      </c>
    </row>
    <row r="2" customFormat="false" ht="26.85" hidden="false" customHeight="false" outlineLevel="0" collapsed="false">
      <c r="A2" s="8" t="s">
        <v>194</v>
      </c>
      <c r="B2" s="3" t="s">
        <v>195</v>
      </c>
      <c r="C2" s="3" t="s">
        <v>297</v>
      </c>
      <c r="D2" s="8" t="s">
        <v>298</v>
      </c>
      <c r="E2" s="8" t="s">
        <v>299</v>
      </c>
      <c r="F2" s="3" t="s">
        <v>300</v>
      </c>
      <c r="G2" s="3" t="s">
        <v>301</v>
      </c>
      <c r="H2" s="3" t="s">
        <v>302</v>
      </c>
    </row>
    <row r="3" customFormat="false" ht="15" hidden="false" customHeight="false" outlineLevel="0" collapsed="false">
      <c r="A3" s="9" t="s">
        <v>303</v>
      </c>
      <c r="B3" s="10" t="s">
        <v>304</v>
      </c>
      <c r="C3" s="9" t="s">
        <v>201</v>
      </c>
      <c r="D3" s="9" t="s">
        <v>305</v>
      </c>
      <c r="E3" s="4" t="n">
        <f aca="false">ROUND(37*(1+$B$1*10),0)</f>
        <v>74</v>
      </c>
      <c r="F3" s="4" t="n">
        <v>3</v>
      </c>
      <c r="G3" s="4" t="s">
        <v>306</v>
      </c>
      <c r="H3" s="4" t="n">
        <v>1</v>
      </c>
    </row>
    <row r="4" customFormat="false" ht="15" hidden="false" customHeight="false" outlineLevel="0" collapsed="false">
      <c r="A4" s="11" t="s">
        <v>307</v>
      </c>
      <c r="B4" s="12" t="s">
        <v>308</v>
      </c>
      <c r="C4" s="11" t="s">
        <v>201</v>
      </c>
      <c r="D4" s="11" t="s">
        <v>309</v>
      </c>
      <c r="E4" s="5" t="n">
        <f aca="false">ROUND(34*(1+$B$1*10),0)</f>
        <v>68</v>
      </c>
      <c r="F4" s="5" t="n">
        <v>3</v>
      </c>
      <c r="G4" s="5" t="s">
        <v>310</v>
      </c>
      <c r="H4" s="5" t="n">
        <v>1</v>
      </c>
    </row>
    <row r="5" customFormat="false" ht="15" hidden="false" customHeight="false" outlineLevel="0" collapsed="false">
      <c r="A5" s="9" t="s">
        <v>311</v>
      </c>
      <c r="B5" s="10" t="s">
        <v>312</v>
      </c>
      <c r="C5" s="9" t="s">
        <v>201</v>
      </c>
      <c r="D5" s="9" t="s">
        <v>313</v>
      </c>
      <c r="E5" s="4" t="n">
        <f aca="false">ROUND(40*(1+$B$1*10),0)</f>
        <v>80</v>
      </c>
      <c r="F5" s="4" t="n">
        <v>3</v>
      </c>
      <c r="G5" s="4" t="s">
        <v>314</v>
      </c>
      <c r="H5" s="4" t="n">
        <v>1</v>
      </c>
    </row>
    <row r="6" customFormat="false" ht="15" hidden="false" customHeight="false" outlineLevel="0" collapsed="false">
      <c r="A6" s="11" t="s">
        <v>315</v>
      </c>
      <c r="B6" s="12" t="s">
        <v>316</v>
      </c>
      <c r="C6" s="11" t="s">
        <v>201</v>
      </c>
      <c r="D6" s="11" t="s">
        <v>317</v>
      </c>
      <c r="E6" s="5" t="n">
        <f aca="false">ROUND(44*(1+$B$1*10),0)</f>
        <v>88</v>
      </c>
      <c r="F6" s="5" t="n">
        <v>3</v>
      </c>
      <c r="G6" s="5" t="s">
        <v>318</v>
      </c>
      <c r="H6" s="5" t="n">
        <v>1</v>
      </c>
    </row>
    <row r="7" customFormat="false" ht="15" hidden="false" customHeight="false" outlineLevel="0" collapsed="false">
      <c r="A7" s="9" t="s">
        <v>319</v>
      </c>
      <c r="B7" s="10" t="s">
        <v>320</v>
      </c>
      <c r="C7" s="9" t="s">
        <v>201</v>
      </c>
      <c r="D7" s="9" t="s">
        <v>321</v>
      </c>
      <c r="E7" s="4" t="n">
        <f aca="false">ROUND(47*(1+$B$1*10),0)</f>
        <v>94</v>
      </c>
      <c r="F7" s="4" t="n">
        <v>3</v>
      </c>
      <c r="G7" s="4" t="s">
        <v>322</v>
      </c>
      <c r="H7" s="4" t="n">
        <v>1</v>
      </c>
    </row>
    <row r="8" customFormat="false" ht="15" hidden="false" customHeight="false" outlineLevel="0" collapsed="false">
      <c r="A8" s="11" t="s">
        <v>323</v>
      </c>
      <c r="B8" s="12" t="s">
        <v>324</v>
      </c>
      <c r="C8" s="11" t="s">
        <v>201</v>
      </c>
      <c r="D8" s="11" t="s">
        <v>325</v>
      </c>
      <c r="E8" s="5" t="n">
        <f aca="false">ROUND(55*(1+$B$1*10),0)</f>
        <v>110</v>
      </c>
      <c r="F8" s="5" t="n">
        <v>4</v>
      </c>
      <c r="G8" s="5" t="s">
        <v>326</v>
      </c>
      <c r="H8" s="5" t="n">
        <v>1</v>
      </c>
    </row>
    <row r="9" customFormat="false" ht="15" hidden="false" customHeight="false" outlineLevel="0" collapsed="false">
      <c r="A9" s="9" t="s">
        <v>327</v>
      </c>
      <c r="B9" s="10" t="s">
        <v>328</v>
      </c>
      <c r="C9" s="15" t="s">
        <v>329</v>
      </c>
      <c r="D9" s="9" t="s">
        <v>330</v>
      </c>
      <c r="E9" s="4" t="n">
        <f aca="false">ROUND(70*(1+$B$1*10),0)</f>
        <v>140</v>
      </c>
      <c r="F9" s="4" t="n">
        <v>3</v>
      </c>
      <c r="G9" s="4" t="s">
        <v>331</v>
      </c>
      <c r="H9" s="4" t="n">
        <v>1</v>
      </c>
    </row>
    <row r="10" customFormat="false" ht="29.85" hidden="false" customHeight="false" outlineLevel="0" collapsed="false">
      <c r="A10" s="11" t="s">
        <v>332</v>
      </c>
      <c r="B10" s="12" t="s">
        <v>333</v>
      </c>
      <c r="C10" s="16" t="s">
        <v>334</v>
      </c>
      <c r="D10" s="11" t="s">
        <v>335</v>
      </c>
      <c r="E10" s="5" t="n">
        <f aca="false">ROUND(115*(1+$B$1*10),0)</f>
        <v>230</v>
      </c>
      <c r="F10" s="5" t="n">
        <v>6</v>
      </c>
      <c r="G10" s="11" t="s">
        <v>336</v>
      </c>
      <c r="H10" s="5" t="n"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5"/>
    <col collapsed="false" customWidth="true" hidden="false" outlineLevel="0" max="3" min="3" style="0" width="10"/>
    <col collapsed="false" customWidth="true" hidden="false" outlineLevel="0" max="4" min="4" style="0" width="15"/>
    <col collapsed="false" customWidth="true" hidden="false" outlineLevel="0" max="5" min="5" style="0" width="24"/>
    <col collapsed="false" customWidth="true" hidden="false" outlineLevel="0" max="6" min="6" style="0" width="22"/>
  </cols>
  <sheetData>
    <row r="1" customFormat="false" ht="15" hidden="false" customHeight="false" outlineLevel="0" collapsed="false">
      <c r="A1" s="3" t="s">
        <v>337</v>
      </c>
      <c r="B1" s="3" t="s">
        <v>338</v>
      </c>
      <c r="C1" s="3" t="s">
        <v>339</v>
      </c>
      <c r="D1" s="3" t="s">
        <v>340</v>
      </c>
      <c r="E1" s="3" t="s">
        <v>198</v>
      </c>
      <c r="F1" s="3" t="s">
        <v>341</v>
      </c>
    </row>
    <row r="2" customFormat="false" ht="15" hidden="false" customHeight="false" outlineLevel="0" collapsed="false">
      <c r="A2" s="9" t="s">
        <v>303</v>
      </c>
      <c r="B2" s="4" t="s">
        <v>304</v>
      </c>
      <c r="C2" s="9" t="s">
        <v>342</v>
      </c>
      <c r="D2" s="4" t="s">
        <v>343</v>
      </c>
      <c r="E2" s="4" t="s">
        <v>344</v>
      </c>
      <c r="F2" s="4" t="s">
        <v>345</v>
      </c>
    </row>
    <row r="3" customFormat="false" ht="15" hidden="false" customHeight="false" outlineLevel="0" collapsed="false">
      <c r="A3" s="11" t="s">
        <v>303</v>
      </c>
      <c r="B3" s="5" t="s">
        <v>304</v>
      </c>
      <c r="C3" s="11" t="s">
        <v>346</v>
      </c>
      <c r="D3" s="5" t="s">
        <v>347</v>
      </c>
      <c r="E3" s="5" t="s">
        <v>344</v>
      </c>
      <c r="F3" s="5" t="s">
        <v>348</v>
      </c>
    </row>
    <row r="4" customFormat="false" ht="15" hidden="false" customHeight="false" outlineLevel="0" collapsed="false">
      <c r="A4" s="9" t="s">
        <v>303</v>
      </c>
      <c r="B4" s="4" t="s">
        <v>304</v>
      </c>
      <c r="C4" s="9" t="s">
        <v>349</v>
      </c>
      <c r="D4" s="4" t="s">
        <v>350</v>
      </c>
      <c r="E4" s="4" t="s">
        <v>351</v>
      </c>
      <c r="F4" s="4" t="s">
        <v>352</v>
      </c>
    </row>
    <row r="5" customFormat="false" ht="15" hidden="false" customHeight="false" outlineLevel="0" collapsed="false">
      <c r="A5" s="11" t="s">
        <v>307</v>
      </c>
      <c r="B5" s="5" t="s">
        <v>308</v>
      </c>
      <c r="C5" s="11" t="s">
        <v>353</v>
      </c>
      <c r="D5" s="5" t="s">
        <v>354</v>
      </c>
      <c r="E5" s="5" t="s">
        <v>344</v>
      </c>
      <c r="F5" s="5" t="s">
        <v>355</v>
      </c>
    </row>
    <row r="6" customFormat="false" ht="15" hidden="false" customHeight="false" outlineLevel="0" collapsed="false">
      <c r="A6" s="9" t="s">
        <v>307</v>
      </c>
      <c r="B6" s="4" t="s">
        <v>308</v>
      </c>
      <c r="C6" s="9" t="s">
        <v>356</v>
      </c>
      <c r="D6" s="4" t="s">
        <v>357</v>
      </c>
      <c r="E6" s="4" t="s">
        <v>358</v>
      </c>
      <c r="F6" s="4" t="s">
        <v>359</v>
      </c>
    </row>
    <row r="7" customFormat="false" ht="15" hidden="false" customHeight="false" outlineLevel="0" collapsed="false">
      <c r="A7" s="11" t="s">
        <v>307</v>
      </c>
      <c r="B7" s="5" t="s">
        <v>308</v>
      </c>
      <c r="C7" s="11" t="s">
        <v>360</v>
      </c>
      <c r="D7" s="5" t="s">
        <v>361</v>
      </c>
      <c r="E7" s="5" t="s">
        <v>344</v>
      </c>
      <c r="F7" s="5" t="s">
        <v>362</v>
      </c>
    </row>
    <row r="8" customFormat="false" ht="15" hidden="false" customHeight="false" outlineLevel="0" collapsed="false">
      <c r="A8" s="9" t="s">
        <v>311</v>
      </c>
      <c r="B8" s="4" t="s">
        <v>312</v>
      </c>
      <c r="C8" s="9" t="s">
        <v>363</v>
      </c>
      <c r="D8" s="4" t="s">
        <v>364</v>
      </c>
      <c r="E8" s="4" t="s">
        <v>344</v>
      </c>
      <c r="F8" s="4" t="s">
        <v>355</v>
      </c>
    </row>
    <row r="9" customFormat="false" ht="15" hidden="false" customHeight="false" outlineLevel="0" collapsed="false">
      <c r="A9" s="11" t="s">
        <v>311</v>
      </c>
      <c r="B9" s="5" t="s">
        <v>312</v>
      </c>
      <c r="C9" s="11" t="s">
        <v>365</v>
      </c>
      <c r="D9" s="5" t="s">
        <v>366</v>
      </c>
      <c r="E9" s="5" t="s">
        <v>367</v>
      </c>
      <c r="F9" s="5" t="s">
        <v>368</v>
      </c>
    </row>
    <row r="10" customFormat="false" ht="15" hidden="false" customHeight="false" outlineLevel="0" collapsed="false">
      <c r="A10" s="9" t="s">
        <v>311</v>
      </c>
      <c r="B10" s="4" t="s">
        <v>312</v>
      </c>
      <c r="C10" s="9" t="s">
        <v>369</v>
      </c>
      <c r="D10" s="4" t="s">
        <v>370</v>
      </c>
      <c r="E10" s="4" t="s">
        <v>344</v>
      </c>
      <c r="F10" s="4" t="s">
        <v>362</v>
      </c>
    </row>
    <row r="11" customFormat="false" ht="15" hidden="false" customHeight="false" outlineLevel="0" collapsed="false">
      <c r="A11" s="11" t="s">
        <v>315</v>
      </c>
      <c r="B11" s="5" t="s">
        <v>316</v>
      </c>
      <c r="C11" s="11" t="s">
        <v>363</v>
      </c>
      <c r="D11" s="5" t="s">
        <v>371</v>
      </c>
      <c r="E11" s="5" t="s">
        <v>344</v>
      </c>
      <c r="F11" s="5" t="s">
        <v>372</v>
      </c>
    </row>
    <row r="12" customFormat="false" ht="15" hidden="false" customHeight="false" outlineLevel="0" collapsed="false">
      <c r="A12" s="9" t="s">
        <v>315</v>
      </c>
      <c r="B12" s="4" t="s">
        <v>316</v>
      </c>
      <c r="C12" s="9" t="s">
        <v>373</v>
      </c>
      <c r="D12" s="4" t="s">
        <v>374</v>
      </c>
      <c r="E12" s="4" t="s">
        <v>375</v>
      </c>
      <c r="F12" s="4" t="s">
        <v>376</v>
      </c>
    </row>
    <row r="13" customFormat="false" ht="15" hidden="false" customHeight="false" outlineLevel="0" collapsed="false">
      <c r="A13" s="11" t="s">
        <v>315</v>
      </c>
      <c r="B13" s="5" t="s">
        <v>316</v>
      </c>
      <c r="C13" s="11" t="s">
        <v>377</v>
      </c>
      <c r="D13" s="5" t="s">
        <v>378</v>
      </c>
      <c r="E13" s="5" t="s">
        <v>379</v>
      </c>
      <c r="F13" s="5" t="s">
        <v>380</v>
      </c>
    </row>
    <row r="14" customFormat="false" ht="15" hidden="false" customHeight="false" outlineLevel="0" collapsed="false">
      <c r="A14" s="9" t="s">
        <v>319</v>
      </c>
      <c r="B14" s="4" t="s">
        <v>320</v>
      </c>
      <c r="C14" s="9" t="s">
        <v>381</v>
      </c>
      <c r="D14" s="4" t="s">
        <v>382</v>
      </c>
      <c r="E14" s="4" t="s">
        <v>344</v>
      </c>
      <c r="F14" s="4" t="s">
        <v>355</v>
      </c>
    </row>
    <row r="15" customFormat="false" ht="15" hidden="false" customHeight="false" outlineLevel="0" collapsed="false">
      <c r="A15" s="11" t="s">
        <v>319</v>
      </c>
      <c r="B15" s="5" t="s">
        <v>320</v>
      </c>
      <c r="C15" s="11" t="s">
        <v>383</v>
      </c>
      <c r="D15" s="5" t="s">
        <v>384</v>
      </c>
      <c r="E15" s="5" t="s">
        <v>385</v>
      </c>
      <c r="F15" s="5" t="s">
        <v>386</v>
      </c>
    </row>
    <row r="16" customFormat="false" ht="15" hidden="false" customHeight="false" outlineLevel="0" collapsed="false">
      <c r="A16" s="9" t="s">
        <v>319</v>
      </c>
      <c r="B16" s="4" t="s">
        <v>320</v>
      </c>
      <c r="C16" s="9" t="s">
        <v>387</v>
      </c>
      <c r="D16" s="4" t="s">
        <v>388</v>
      </c>
      <c r="E16" s="4" t="s">
        <v>344</v>
      </c>
      <c r="F16" s="4" t="s">
        <v>389</v>
      </c>
    </row>
    <row r="17" customFormat="false" ht="15" hidden="false" customHeight="false" outlineLevel="0" collapsed="false">
      <c r="A17" s="11" t="s">
        <v>323</v>
      </c>
      <c r="B17" s="5" t="s">
        <v>324</v>
      </c>
      <c r="C17" s="11" t="s">
        <v>390</v>
      </c>
      <c r="D17" s="5" t="s">
        <v>391</v>
      </c>
      <c r="E17" s="5" t="s">
        <v>344</v>
      </c>
      <c r="F17" s="5" t="s">
        <v>348</v>
      </c>
    </row>
    <row r="18" customFormat="false" ht="15" hidden="false" customHeight="false" outlineLevel="0" collapsed="false">
      <c r="A18" s="9" t="s">
        <v>323</v>
      </c>
      <c r="B18" s="4" t="s">
        <v>324</v>
      </c>
      <c r="C18" s="9" t="s">
        <v>392</v>
      </c>
      <c r="D18" s="4" t="s">
        <v>393</v>
      </c>
      <c r="E18" s="4" t="s">
        <v>394</v>
      </c>
      <c r="F18" s="4" t="s">
        <v>395</v>
      </c>
    </row>
    <row r="19" customFormat="false" ht="15" hidden="false" customHeight="false" outlineLevel="0" collapsed="false">
      <c r="A19" s="11" t="s">
        <v>323</v>
      </c>
      <c r="B19" s="5" t="s">
        <v>324</v>
      </c>
      <c r="C19" s="11" t="s">
        <v>396</v>
      </c>
      <c r="D19" s="5" t="s">
        <v>397</v>
      </c>
      <c r="E19" s="5" t="s">
        <v>344</v>
      </c>
      <c r="F19" s="5" t="s">
        <v>398</v>
      </c>
    </row>
    <row r="20" customFormat="false" ht="15" hidden="false" customHeight="false" outlineLevel="0" collapsed="false">
      <c r="A20" s="9" t="s">
        <v>323</v>
      </c>
      <c r="B20" s="4" t="s">
        <v>324</v>
      </c>
      <c r="C20" s="9" t="s">
        <v>399</v>
      </c>
      <c r="D20" s="4" t="s">
        <v>400</v>
      </c>
      <c r="E20" s="4" t="s">
        <v>401</v>
      </c>
      <c r="F20" s="4" t="s">
        <v>402</v>
      </c>
    </row>
    <row r="21" customFormat="false" ht="15" hidden="false" customHeight="false" outlineLevel="0" collapsed="false">
      <c r="A21" s="11" t="s">
        <v>327</v>
      </c>
      <c r="B21" s="5" t="s">
        <v>328</v>
      </c>
      <c r="C21" s="11" t="s">
        <v>363</v>
      </c>
      <c r="D21" s="5" t="s">
        <v>371</v>
      </c>
      <c r="E21" s="5" t="s">
        <v>344</v>
      </c>
      <c r="F21" s="5" t="s">
        <v>362</v>
      </c>
    </row>
    <row r="22" customFormat="false" ht="15" hidden="false" customHeight="false" outlineLevel="0" collapsed="false">
      <c r="A22" s="9" t="s">
        <v>327</v>
      </c>
      <c r="B22" s="4" t="s">
        <v>328</v>
      </c>
      <c r="C22" s="9" t="s">
        <v>403</v>
      </c>
      <c r="D22" s="4" t="s">
        <v>404</v>
      </c>
      <c r="E22" s="4" t="s">
        <v>405</v>
      </c>
      <c r="F22" s="4" t="s">
        <v>406</v>
      </c>
    </row>
    <row r="23" customFormat="false" ht="15" hidden="false" customHeight="false" outlineLevel="0" collapsed="false">
      <c r="A23" s="11" t="s">
        <v>327</v>
      </c>
      <c r="B23" s="5" t="s">
        <v>328</v>
      </c>
      <c r="C23" s="11" t="s">
        <v>407</v>
      </c>
      <c r="D23" s="5" t="s">
        <v>408</v>
      </c>
      <c r="E23" s="5" t="s">
        <v>344</v>
      </c>
      <c r="F23" s="5" t="s">
        <v>409</v>
      </c>
    </row>
    <row r="24" customFormat="false" ht="15" hidden="false" customHeight="false" outlineLevel="0" collapsed="false">
      <c r="A24" s="9" t="s">
        <v>332</v>
      </c>
      <c r="B24" s="4" t="s">
        <v>333</v>
      </c>
      <c r="C24" s="9" t="s">
        <v>363</v>
      </c>
      <c r="D24" s="4" t="s">
        <v>371</v>
      </c>
      <c r="E24" s="4" t="s">
        <v>344</v>
      </c>
      <c r="F24" s="4" t="s">
        <v>389</v>
      </c>
    </row>
    <row r="25" customFormat="false" ht="15" hidden="false" customHeight="false" outlineLevel="0" collapsed="false">
      <c r="A25" s="11" t="s">
        <v>332</v>
      </c>
      <c r="B25" s="5" t="s">
        <v>333</v>
      </c>
      <c r="C25" s="11" t="s">
        <v>410</v>
      </c>
      <c r="D25" s="5" t="s">
        <v>411</v>
      </c>
      <c r="E25" s="5" t="s">
        <v>412</v>
      </c>
      <c r="F25" s="5" t="s">
        <v>413</v>
      </c>
    </row>
    <row r="26" customFormat="false" ht="15" hidden="false" customHeight="false" outlineLevel="0" collapsed="false">
      <c r="A26" s="9" t="s">
        <v>332</v>
      </c>
      <c r="B26" s="4" t="s">
        <v>333</v>
      </c>
      <c r="C26" s="9" t="s">
        <v>414</v>
      </c>
      <c r="D26" s="4" t="s">
        <v>415</v>
      </c>
      <c r="E26" s="4" t="s">
        <v>344</v>
      </c>
      <c r="F26" s="4" t="s">
        <v>416</v>
      </c>
    </row>
    <row r="27" customFormat="false" ht="15" hidden="false" customHeight="false" outlineLevel="0" collapsed="false">
      <c r="A27" s="11" t="s">
        <v>332</v>
      </c>
      <c r="B27" s="5" t="s">
        <v>333</v>
      </c>
      <c r="C27" s="11" t="s">
        <v>403</v>
      </c>
      <c r="D27" s="5" t="s">
        <v>417</v>
      </c>
      <c r="E27" s="5" t="s">
        <v>418</v>
      </c>
      <c r="F27" s="5" t="s">
        <v>419</v>
      </c>
    </row>
    <row r="28" customFormat="false" ht="15" hidden="false" customHeight="false" outlineLevel="0" collapsed="false">
      <c r="A28" s="9" t="s">
        <v>332</v>
      </c>
      <c r="B28" s="4" t="s">
        <v>333</v>
      </c>
      <c r="C28" s="9" t="s">
        <v>420</v>
      </c>
      <c r="D28" s="4" t="s">
        <v>421</v>
      </c>
      <c r="E28" s="4" t="s">
        <v>344</v>
      </c>
      <c r="F28" s="4" t="s">
        <v>398</v>
      </c>
    </row>
    <row r="29" customFormat="false" ht="15" hidden="false" customHeight="false" outlineLevel="0" collapsed="false">
      <c r="A29" s="11" t="s">
        <v>332</v>
      </c>
      <c r="B29" s="5" t="s">
        <v>333</v>
      </c>
      <c r="C29" s="11" t="s">
        <v>422</v>
      </c>
      <c r="D29" s="5" t="s">
        <v>423</v>
      </c>
      <c r="E29" s="5" t="s">
        <v>401</v>
      </c>
      <c r="F29" s="5" t="s">
        <v>424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6"/>
    <col collapsed="false" customWidth="true" hidden="false" outlineLevel="0" max="3" min="3" style="0" width="26"/>
    <col collapsed="false" customWidth="true" hidden="false" outlineLevel="0" max="4" min="4" style="0" width="52"/>
  </cols>
  <sheetData>
    <row r="1" customFormat="false" ht="15" hidden="false" customHeight="false" outlineLevel="0" collapsed="false">
      <c r="A1" s="8" t="s">
        <v>194</v>
      </c>
      <c r="B1" s="3" t="s">
        <v>425</v>
      </c>
      <c r="C1" s="3" t="s">
        <v>426</v>
      </c>
      <c r="D1" s="3" t="s">
        <v>427</v>
      </c>
    </row>
    <row r="2" customFormat="false" ht="15" hidden="false" customHeight="false" outlineLevel="0" collapsed="false">
      <c r="A2" s="9" t="s">
        <v>428</v>
      </c>
      <c r="B2" s="4" t="s">
        <v>429</v>
      </c>
      <c r="C2" s="4" t="s">
        <v>430</v>
      </c>
      <c r="D2" s="4" t="s">
        <v>431</v>
      </c>
    </row>
    <row r="3" customFormat="false" ht="29.85" hidden="false" customHeight="false" outlineLevel="0" collapsed="false">
      <c r="A3" s="11" t="s">
        <v>432</v>
      </c>
      <c r="B3" s="5" t="s">
        <v>433</v>
      </c>
      <c r="C3" s="5" t="s">
        <v>434</v>
      </c>
      <c r="D3" s="5" t="s">
        <v>435</v>
      </c>
    </row>
    <row r="4" customFormat="false" ht="15" hidden="false" customHeight="false" outlineLevel="0" collapsed="false">
      <c r="A4" s="9" t="s">
        <v>436</v>
      </c>
      <c r="B4" s="4" t="s">
        <v>437</v>
      </c>
      <c r="C4" s="4" t="s">
        <v>438</v>
      </c>
      <c r="D4" s="4" t="s">
        <v>439</v>
      </c>
    </row>
    <row r="5" customFormat="false" ht="15" hidden="false" customHeight="false" outlineLevel="0" collapsed="false">
      <c r="A5" s="11" t="s">
        <v>440</v>
      </c>
      <c r="B5" s="5" t="s">
        <v>441</v>
      </c>
      <c r="C5" s="5" t="s">
        <v>442</v>
      </c>
      <c r="D5" s="5" t="s">
        <v>443</v>
      </c>
    </row>
    <row r="6" customFormat="false" ht="15" hidden="false" customHeight="false" outlineLevel="0" collapsed="false">
      <c r="A6" s="9" t="s">
        <v>444</v>
      </c>
      <c r="B6" s="4" t="s">
        <v>445</v>
      </c>
      <c r="C6" s="4" t="s">
        <v>446</v>
      </c>
      <c r="D6" s="4" t="s">
        <v>447</v>
      </c>
    </row>
    <row r="7" customFormat="false" ht="15" hidden="false" customHeight="false" outlineLevel="0" collapsed="false">
      <c r="A7" s="11" t="s">
        <v>448</v>
      </c>
      <c r="B7" s="5" t="s">
        <v>449</v>
      </c>
      <c r="C7" s="5" t="s">
        <v>450</v>
      </c>
      <c r="D7" s="5" t="s">
        <v>451</v>
      </c>
    </row>
    <row r="9" customFormat="false" ht="15" hidden="false" customHeight="false" outlineLevel="0" collapsed="false">
      <c r="A9" s="7" t="s">
        <v>452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5"/>
    <col collapsed="false" customWidth="true" hidden="false" outlineLevel="0" max="4" min="3" style="0" width="26"/>
    <col collapsed="false" customWidth="true" hidden="false" outlineLevel="0" max="5" min="5" style="0" width="40"/>
  </cols>
  <sheetData>
    <row r="1" customFormat="false" ht="15" hidden="false" customHeight="false" outlineLevel="0" collapsed="false">
      <c r="A1" s="3" t="s">
        <v>453</v>
      </c>
      <c r="B1" s="8" t="s">
        <v>454</v>
      </c>
      <c r="C1" s="3" t="s">
        <v>455</v>
      </c>
      <c r="D1" s="3" t="s">
        <v>198</v>
      </c>
      <c r="E1" s="3" t="s">
        <v>456</v>
      </c>
    </row>
    <row r="2" customFormat="false" ht="15" hidden="false" customHeight="false" outlineLevel="0" collapsed="false">
      <c r="A2" s="9" t="s">
        <v>457</v>
      </c>
      <c r="B2" s="4" t="s">
        <v>458</v>
      </c>
      <c r="C2" s="4" t="s">
        <v>459</v>
      </c>
      <c r="D2" s="9" t="s">
        <v>460</v>
      </c>
      <c r="E2" s="4" t="s">
        <v>461</v>
      </c>
    </row>
    <row r="3" customFormat="false" ht="15" hidden="false" customHeight="false" outlineLevel="0" collapsed="false">
      <c r="A3" s="11" t="s">
        <v>457</v>
      </c>
      <c r="B3" s="5" t="s">
        <v>458</v>
      </c>
      <c r="C3" s="5" t="s">
        <v>462</v>
      </c>
      <c r="D3" s="11" t="s">
        <v>463</v>
      </c>
      <c r="E3" s="5" t="s">
        <v>464</v>
      </c>
    </row>
    <row r="4" customFormat="false" ht="15" hidden="false" customHeight="false" outlineLevel="0" collapsed="false">
      <c r="A4" s="9" t="s">
        <v>457</v>
      </c>
      <c r="B4" s="4" t="s">
        <v>458</v>
      </c>
      <c r="C4" s="4" t="s">
        <v>465</v>
      </c>
      <c r="D4" s="9" t="s">
        <v>204</v>
      </c>
      <c r="E4" s="4" t="s">
        <v>466</v>
      </c>
    </row>
    <row r="5" customFormat="false" ht="15" hidden="false" customHeight="false" outlineLevel="0" collapsed="false">
      <c r="A5" s="11" t="s">
        <v>467</v>
      </c>
      <c r="B5" s="5" t="s">
        <v>468</v>
      </c>
      <c r="C5" s="5" t="s">
        <v>469</v>
      </c>
      <c r="D5" s="5" t="s">
        <v>470</v>
      </c>
      <c r="E5" s="5" t="s">
        <v>471</v>
      </c>
    </row>
    <row r="6" customFormat="false" ht="15" hidden="false" customHeight="false" outlineLevel="0" collapsed="false">
      <c r="A6" s="9" t="s">
        <v>467</v>
      </c>
      <c r="B6" s="4" t="s">
        <v>468</v>
      </c>
      <c r="C6" s="4" t="s">
        <v>472</v>
      </c>
      <c r="D6" s="4" t="s">
        <v>473</v>
      </c>
      <c r="E6" s="4" t="s">
        <v>474</v>
      </c>
    </row>
    <row r="7" customFormat="false" ht="15" hidden="false" customHeight="false" outlineLevel="0" collapsed="false">
      <c r="A7" s="11" t="s">
        <v>467</v>
      </c>
      <c r="B7" s="5" t="s">
        <v>468</v>
      </c>
      <c r="C7" s="5" t="s">
        <v>475</v>
      </c>
      <c r="D7" s="11" t="s">
        <v>204</v>
      </c>
      <c r="E7" s="5" t="s">
        <v>476</v>
      </c>
    </row>
    <row r="8" customFormat="false" ht="15" hidden="false" customHeight="false" outlineLevel="0" collapsed="false">
      <c r="A8" s="9" t="s">
        <v>477</v>
      </c>
      <c r="B8" s="4" t="s">
        <v>478</v>
      </c>
      <c r="C8" s="4" t="s">
        <v>479</v>
      </c>
      <c r="D8" s="9" t="s">
        <v>480</v>
      </c>
      <c r="E8" s="4" t="s">
        <v>481</v>
      </c>
    </row>
    <row r="9" customFormat="false" ht="15" hidden="false" customHeight="false" outlineLevel="0" collapsed="false">
      <c r="A9" s="11" t="s">
        <v>477</v>
      </c>
      <c r="B9" s="5" t="s">
        <v>478</v>
      </c>
      <c r="C9" s="5" t="s">
        <v>482</v>
      </c>
      <c r="D9" s="5" t="s">
        <v>483</v>
      </c>
      <c r="E9" s="5" t="s">
        <v>484</v>
      </c>
    </row>
    <row r="10" customFormat="false" ht="15" hidden="false" customHeight="false" outlineLevel="0" collapsed="false">
      <c r="A10" s="9" t="s">
        <v>477</v>
      </c>
      <c r="B10" s="4" t="s">
        <v>478</v>
      </c>
      <c r="C10" s="4" t="s">
        <v>485</v>
      </c>
      <c r="D10" s="9" t="s">
        <v>204</v>
      </c>
      <c r="E10" s="4" t="s">
        <v>486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2026-08-05T13:27:06Z</dcterms:created>
  <dc:creator>openpyxl</dc:creator>
  <dc:description/>
  <dc:language>en-US</dc:language>
  <cp:lastModifiedBy/>
  <dcterms:modified xsi:type="dcterms:W3CDTF">2026-08-05T13:27:06Z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